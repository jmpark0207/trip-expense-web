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정민\Desktop\박정민\품의서류\251201-06_상해(마린텍)_출장\최종\"/>
    </mc:Choice>
  </mc:AlternateContent>
  <xr:revisionPtr revIDLastSave="0" documentId="13_ncr:1_{5A1139E8-7053-424E-9F74-D972DC2CAF42}" xr6:coauthVersionLast="47" xr6:coauthVersionMax="47" xr10:uidLastSave="{00000000-0000-0000-0000-000000000000}"/>
  <bookViews>
    <workbookView xWindow="735" yWindow="735" windowWidth="21600" windowHeight="11295" activeTab="1" xr2:uid="{00000000-000D-0000-FFFF-FFFF00000000}"/>
  </bookViews>
  <sheets>
    <sheet name="정산내역" sheetId="2" r:id="rId1"/>
    <sheet name="세부내역" sheetId="6" r:id="rId2"/>
    <sheet name="(예시)세부내역" sheetId="9" r:id="rId3"/>
    <sheet name="(가이드)영수증" sheetId="5" r:id="rId4"/>
    <sheet name="드롭다운" sheetId="7" state="hidden" r:id="rId5"/>
  </sheets>
  <definedNames>
    <definedName name="_xlnm.Print_Area" localSheetId="2">#REF!</definedName>
    <definedName name="_xlnm.Print_Area" localSheetId="1">세부내역!$B$1:$T$12</definedName>
    <definedName name="_xlnm.Print_Area" localSheetId="0">정산내역!$B$2:$G$28</definedName>
    <definedName name="결제방법">드롭다운!$B$3:$B$6</definedName>
    <definedName name="교통비">드롭다운!$D$3:$D$9</definedName>
    <definedName name="구분">드롭다운!$C$3:$C$8</definedName>
    <definedName name="기타경비">드롭다운!$G$3:$G$9</definedName>
    <definedName name="숙박비">드롭다운!$E$3</definedName>
    <definedName name="식비">드롭다운!$F$3:$F$5</definedName>
    <definedName name="업무추진비">드롭다운!$H$3</definedName>
    <definedName name="활동비">드롭다운!$I$3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KangYoonAh</author>
  </authors>
  <commentList>
    <comment ref="L6" authorId="0" shapeId="0" xr:uid="{43CBE5A6-11E7-4D37-8387-06D9FF7AB202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-. </t>
        </r>
        <r>
          <rPr>
            <sz val="9"/>
            <color indexed="81"/>
            <rFont val="돋움"/>
            <family val="3"/>
            <charset val="129"/>
          </rPr>
          <t>경지팀이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카드결제내역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이용금액</t>
        </r>
        <r>
          <rPr>
            <b/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 -. </t>
        </r>
        <r>
          <rPr>
            <sz val="9"/>
            <color indexed="81"/>
            <rFont val="돋움"/>
            <family val="3"/>
            <charset val="129"/>
          </rPr>
          <t>카드사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승인일까지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소요되므로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
2. </t>
        </r>
        <r>
          <rPr>
            <b/>
            <sz val="9"/>
            <color indexed="81"/>
            <rFont val="돋움"/>
            <family val="3"/>
            <charset val="129"/>
          </rPr>
          <t>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-. </t>
        </r>
        <r>
          <rPr>
            <sz val="9"/>
            <color indexed="81"/>
            <rFont val="돋움"/>
            <family val="3"/>
            <charset val="129"/>
          </rPr>
          <t>현지금액</t>
        </r>
        <r>
          <rPr>
            <sz val="9"/>
            <color indexed="81"/>
            <rFont val="Tahoma"/>
            <family val="2"/>
          </rPr>
          <t xml:space="preserve"> (K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) *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출국일자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환율</t>
        </r>
        <r>
          <rPr>
            <sz val="9"/>
            <color indexed="81"/>
            <rFont val="Tahoma"/>
            <family val="2"/>
          </rPr>
          <t>(P:S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KangYoonAh</author>
  </authors>
  <commentList>
    <comment ref="K6" authorId="0" shapeId="0" xr:uid="{ACB59EA6-EDEE-4129-9494-CB1D42B92811}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가이드</t>
        </r>
        <r>
          <rPr>
            <b/>
            <sz val="9"/>
            <color indexed="81"/>
            <rFont val="Tahoma"/>
            <family val="2"/>
          </rPr>
          <t>] K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외화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결제방법이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
반드시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환율기준표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작성필요</t>
        </r>
      </text>
    </comment>
    <comment ref="P8" authorId="0" shapeId="0" xr:uid="{D7D7C380-0080-40AC-8C5E-837A3952C919}">
      <text>
        <r>
          <rPr>
            <b/>
            <sz val="9"/>
            <color indexed="81"/>
            <rFont val="Tahoma"/>
            <family val="2"/>
          </rPr>
          <t>KangYoonAh: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</commentList>
</comments>
</file>

<file path=xl/sharedStrings.xml><?xml version="1.0" encoding="utf-8"?>
<sst xmlns="http://schemas.openxmlformats.org/spreadsheetml/2006/main" count="529" uniqueCount="202">
  <si>
    <t>교통비</t>
    <phoneticPr fontId="6" type="noConversion"/>
  </si>
  <si>
    <t>식비</t>
    <phoneticPr fontId="6" type="noConversion"/>
  </si>
  <si>
    <t>숙박비</t>
    <phoneticPr fontId="6" type="noConversion"/>
  </si>
  <si>
    <t>선급금</t>
    <phoneticPr fontId="6" type="noConversion"/>
  </si>
  <si>
    <t>출장명</t>
    <phoneticPr fontId="6" type="noConversion"/>
  </si>
  <si>
    <t>구분</t>
    <phoneticPr fontId="17" type="noConversion"/>
  </si>
  <si>
    <t>출장기간</t>
    <phoneticPr fontId="5" type="noConversion"/>
  </si>
  <si>
    <t>출장지역/국가</t>
    <phoneticPr fontId="6" type="noConversion"/>
  </si>
  <si>
    <t>(현지)결제일자</t>
    <phoneticPr fontId="6" type="noConversion"/>
  </si>
  <si>
    <t>결제방법</t>
    <phoneticPr fontId="17" type="noConversion"/>
  </si>
  <si>
    <t>증빙번호</t>
    <phoneticPr fontId="5" type="noConversion"/>
  </si>
  <si>
    <t>거래처/가맹점명</t>
    <phoneticPr fontId="5" type="noConversion"/>
  </si>
  <si>
    <t>항목</t>
    <phoneticPr fontId="5" type="noConversion"/>
  </si>
  <si>
    <t>카드</t>
    <phoneticPr fontId="5" type="noConversion"/>
  </si>
  <si>
    <t>현금</t>
    <phoneticPr fontId="5" type="noConversion"/>
  </si>
  <si>
    <t>정산자</t>
    <phoneticPr fontId="5" type="noConversion"/>
  </si>
  <si>
    <t>기타경비</t>
    <phoneticPr fontId="6" type="noConversion"/>
  </si>
  <si>
    <t>사용금액</t>
    <phoneticPr fontId="6" type="noConversion"/>
  </si>
  <si>
    <t>잔액</t>
    <phoneticPr fontId="6" type="noConversion"/>
  </si>
  <si>
    <t>비고</t>
    <phoneticPr fontId="6" type="noConversion"/>
  </si>
  <si>
    <t>구분</t>
    <phoneticPr fontId="5" type="noConversion"/>
  </si>
  <si>
    <t>(단위 : 표 참조)</t>
    <phoneticPr fontId="5" type="noConversion"/>
  </si>
  <si>
    <t>(단위 : 원)</t>
    <phoneticPr fontId="5" type="noConversion"/>
  </si>
  <si>
    <t>2. 일반 사용 내역</t>
    <phoneticPr fontId="5" type="noConversion"/>
  </si>
  <si>
    <t>3. 외화선급금 사용 내역 (해당 시)</t>
    <phoneticPr fontId="5" type="noConversion"/>
  </si>
  <si>
    <t>5. 비고</t>
    <phoneticPr fontId="5" type="noConversion"/>
  </si>
  <si>
    <t>1. 출장개요</t>
    <phoneticPr fontId="5" type="noConversion"/>
  </si>
  <si>
    <t>결제방법</t>
    <phoneticPr fontId="5" type="noConversion"/>
  </si>
  <si>
    <t>개인-카드</t>
    <phoneticPr fontId="5" type="noConversion"/>
  </si>
  <si>
    <t>개인-현금</t>
    <phoneticPr fontId="5" type="noConversion"/>
  </si>
  <si>
    <t>결제금액 (원)</t>
    <phoneticPr fontId="5" type="noConversion"/>
  </si>
  <si>
    <t>교통비</t>
  </si>
  <si>
    <t>교통비</t>
    <phoneticPr fontId="5" type="noConversion"/>
  </si>
  <si>
    <t>숙박비</t>
    <phoneticPr fontId="5" type="noConversion"/>
  </si>
  <si>
    <t>식비</t>
    <phoneticPr fontId="5" type="noConversion"/>
  </si>
  <si>
    <t>기타경비</t>
    <phoneticPr fontId="5" type="noConversion"/>
  </si>
  <si>
    <t>업무추진비</t>
  </si>
  <si>
    <t>업무추진비</t>
    <phoneticPr fontId="5" type="noConversion"/>
  </si>
  <si>
    <t>조식</t>
    <phoneticPr fontId="5" type="noConversion"/>
  </si>
  <si>
    <t>중식</t>
    <phoneticPr fontId="5" type="noConversion"/>
  </si>
  <si>
    <t>석식</t>
    <phoneticPr fontId="5" type="noConversion"/>
  </si>
  <si>
    <t>통신비</t>
    <phoneticPr fontId="5" type="noConversion"/>
  </si>
  <si>
    <t>보험료</t>
    <phoneticPr fontId="5" type="noConversion"/>
  </si>
  <si>
    <t>여행사수수료</t>
    <phoneticPr fontId="5" type="noConversion"/>
  </si>
  <si>
    <t>비자발급</t>
    <phoneticPr fontId="5" type="noConversion"/>
  </si>
  <si>
    <t>예방접종</t>
    <phoneticPr fontId="5" type="noConversion"/>
  </si>
  <si>
    <t>활동비</t>
    <phoneticPr fontId="5" type="noConversion"/>
  </si>
  <si>
    <t>택시</t>
  </si>
  <si>
    <t>택시</t>
    <phoneticPr fontId="5" type="noConversion"/>
  </si>
  <si>
    <t>렌트·콜밴·픽업샌딩</t>
    <phoneticPr fontId="5" type="noConversion"/>
  </si>
  <si>
    <t>버스·공항리무진</t>
    <phoneticPr fontId="5" type="noConversion"/>
  </si>
  <si>
    <t>기차·전철</t>
    <phoneticPr fontId="5" type="noConversion"/>
  </si>
  <si>
    <t>항공·선박</t>
    <phoneticPr fontId="5" type="noConversion"/>
  </si>
  <si>
    <t>기타 교통수단</t>
    <phoneticPr fontId="5" type="noConversion"/>
  </si>
  <si>
    <t>번호</t>
    <phoneticPr fontId="5" type="noConversion"/>
  </si>
  <si>
    <t>정산금</t>
    <phoneticPr fontId="5" type="noConversion"/>
  </si>
  <si>
    <r>
      <t xml:space="preserve">* 개인 카드/현금은 </t>
    </r>
    <r>
      <rPr>
        <b/>
        <sz val="11"/>
        <color theme="1"/>
        <rFont val="맑은 고딕"/>
        <family val="3"/>
        <charset val="129"/>
        <scheme val="minor"/>
      </rPr>
      <t>예외적</t>
    </r>
    <r>
      <rPr>
        <sz val="11"/>
        <color theme="1"/>
        <rFont val="맑은 고딕"/>
        <family val="3"/>
        <charset val="129"/>
        <scheme val="minor"/>
      </rPr>
      <t xml:space="preserve">으로만 사용함.  
   </t>
    </r>
    <r>
      <rPr>
        <b/>
        <sz val="11"/>
        <color theme="1"/>
        <rFont val="맑은 고딕"/>
        <family val="3"/>
        <charset val="129"/>
        <scheme val="minor"/>
      </rPr>
      <t>사유, 증빙이 명확하지 않을 경우 불인정함.</t>
    </r>
    <r>
      <rPr>
        <sz val="11"/>
        <color theme="1"/>
        <rFont val="맑은 고딕"/>
        <family val="3"/>
        <charset val="129"/>
        <scheme val="minor"/>
      </rPr>
      <t xml:space="preserve">
 * </t>
    </r>
    <r>
      <rPr>
        <b/>
        <sz val="11"/>
        <color theme="1"/>
        <rFont val="맑은 고딕"/>
        <family val="3"/>
        <charset val="129"/>
        <scheme val="minor"/>
      </rPr>
      <t>환율을 반영하여, 개인별 총 합계만 작성</t>
    </r>
    <r>
      <rPr>
        <sz val="11"/>
        <color theme="1"/>
        <rFont val="맑은 고딕"/>
        <family val="3"/>
        <charset val="129"/>
        <scheme val="minor"/>
      </rPr>
      <t xml:space="preserve">
 * 정산자가 추가 될 경우, 행을 추가함.</t>
    </r>
    <phoneticPr fontId="5" type="noConversion"/>
  </si>
  <si>
    <t>활동비</t>
    <phoneticPr fontId="6" type="noConversion"/>
  </si>
  <si>
    <t>출국일자</t>
    <phoneticPr fontId="5" type="noConversion"/>
  </si>
  <si>
    <t>예시)</t>
    <phoneticPr fontId="5" type="noConversion"/>
  </si>
  <si>
    <t>카드</t>
  </si>
  <si>
    <t>현금</t>
  </si>
  <si>
    <t>외화
(해당시)</t>
    <phoneticPr fontId="5" type="noConversion"/>
  </si>
  <si>
    <t>카드번호
(해당시)</t>
    <phoneticPr fontId="17" type="noConversion"/>
  </si>
  <si>
    <t>***사 접대</t>
    <phoneticPr fontId="5" type="noConversion"/>
  </si>
  <si>
    <t>Den Glade Gris</t>
    <phoneticPr fontId="5" type="noConversion"/>
  </si>
  <si>
    <t>[링크] 서울외국환중개-환율조회</t>
  </si>
  <si>
    <t>숙소 → ***사 이동</t>
    <phoneticPr fontId="5" type="noConversion"/>
  </si>
  <si>
    <t>SGD</t>
    <phoneticPr fontId="5" type="noConversion"/>
  </si>
  <si>
    <t>Grab</t>
    <phoneticPr fontId="5" type="noConversion"/>
  </si>
  <si>
    <t>총 합계</t>
    <phoneticPr fontId="5" type="noConversion"/>
  </si>
  <si>
    <t>환율기준표</t>
    <phoneticPr fontId="5" type="noConversion"/>
  </si>
  <si>
    <t>현지금액
(해당시)</t>
    <phoneticPr fontId="5" type="noConversion"/>
  </si>
  <si>
    <t>* 국외출장</t>
    <phoneticPr fontId="5" type="noConversion"/>
  </si>
  <si>
    <t>통화 구분</t>
    <phoneticPr fontId="5" type="noConversion"/>
  </si>
  <si>
    <t>환율</t>
    <phoneticPr fontId="5" type="noConversion"/>
  </si>
  <si>
    <r>
      <t xml:space="preserve">&lt;작성 가이드&gt;
* </t>
    </r>
    <r>
      <rPr>
        <b/>
        <sz val="10"/>
        <color rgb="FFFF0000"/>
        <rFont val="맑은 고딕"/>
        <family val="3"/>
        <charset val="129"/>
        <scheme val="minor"/>
      </rPr>
      <t>흰색 칸만 입력</t>
    </r>
    <r>
      <rPr>
        <b/>
        <sz val="10"/>
        <color theme="1"/>
        <rFont val="맑은 고딕"/>
        <family val="3"/>
        <charset val="129"/>
        <scheme val="minor"/>
      </rPr>
      <t xml:space="preserve">해주세요!
* </t>
    </r>
    <r>
      <rPr>
        <b/>
        <sz val="10"/>
        <color rgb="FFFF0000"/>
        <rFont val="맑은 고딕"/>
        <family val="3"/>
        <charset val="129"/>
        <scheme val="minor"/>
      </rPr>
      <t>수식은 절대 변경하지 마십시오.</t>
    </r>
    <phoneticPr fontId="5" type="noConversion"/>
  </si>
  <si>
    <t xml:space="preserve"> 1. 
  2. </t>
    <phoneticPr fontId="6" type="noConversion"/>
  </si>
  <si>
    <t>4. 개인 카드·현금 사용 내역 (해당 시)</t>
    <phoneticPr fontId="5" type="noConversion"/>
  </si>
  <si>
    <t>사용 목적
(개인 카드·현금 사용 사유)</t>
    <phoneticPr fontId="17" type="noConversion"/>
  </si>
  <si>
    <t>출국일 환율 (또는 외화환전영수증)</t>
    <phoneticPr fontId="5" type="noConversion"/>
  </si>
  <si>
    <t>출장자</t>
    <phoneticPr fontId="6" type="noConversion"/>
  </si>
  <si>
    <t>출장 정산내역서</t>
    <phoneticPr fontId="6" type="noConversion"/>
  </si>
  <si>
    <t>팀 활동비</t>
    <phoneticPr fontId="5" type="noConversion"/>
  </si>
  <si>
    <t>외화구분
(해당시)</t>
    <phoneticPr fontId="5" type="noConversion"/>
  </si>
  <si>
    <t>외화구분</t>
    <phoneticPr fontId="5" type="noConversion"/>
  </si>
  <si>
    <t>구분(화폐단위)</t>
    <phoneticPr fontId="5" type="noConversion"/>
  </si>
  <si>
    <t>(선박) 잡자재·재료비</t>
    <phoneticPr fontId="5" type="noConversion"/>
  </si>
  <si>
    <t>* 국외출장
카드/현금 모두 J:K열은 작성</t>
    <phoneticPr fontId="5" type="noConversion"/>
  </si>
  <si>
    <t xml:space="preserve"> ▼ 국외출장 - 현금만 작성</t>
    <phoneticPr fontId="5" type="noConversion"/>
  </si>
  <si>
    <t>주유비·통행료·주차비</t>
    <phoneticPr fontId="5" type="noConversion"/>
  </si>
  <si>
    <t>2025.12.01</t>
    <phoneticPr fontId="5" type="noConversion"/>
  </si>
  <si>
    <t>중국 CHN</t>
    <phoneticPr fontId="5" type="noConversion"/>
  </si>
  <si>
    <t>항공·선박</t>
  </si>
  <si>
    <t>숙박비</t>
  </si>
  <si>
    <t>렌트·콜밴·픽업샌딩</t>
  </si>
  <si>
    <t>기타경비</t>
  </si>
  <si>
    <t>통신비</t>
  </si>
  <si>
    <t>이정현 e-sim 비용</t>
    <phoneticPr fontId="5" type="noConversion"/>
  </si>
  <si>
    <t>유엔젤㈜</t>
    <phoneticPr fontId="5" type="noConversion"/>
  </si>
  <si>
    <t>2025.11.28</t>
    <phoneticPr fontId="5" type="noConversion"/>
  </si>
  <si>
    <t>개인-카드</t>
  </si>
  <si>
    <t>최민욱 e-sim 비용</t>
    <phoneticPr fontId="5" type="noConversion"/>
  </si>
  <si>
    <t>가제트코리아 주식회사</t>
    <phoneticPr fontId="5" type="noConversion"/>
  </si>
  <si>
    <t>임유리 e-sim 비용</t>
    <phoneticPr fontId="5" type="noConversion"/>
  </si>
  <si>
    <t>마리오와이파이</t>
    <phoneticPr fontId="5" type="noConversion"/>
  </si>
  <si>
    <t>박정민 e-sim 비용</t>
    <phoneticPr fontId="5" type="noConversion"/>
  </si>
  <si>
    <t>카카오T 업무택시</t>
    <phoneticPr fontId="5" type="noConversion"/>
  </si>
  <si>
    <t>식비</t>
  </si>
  <si>
    <t>중식</t>
  </si>
  <si>
    <t>중식 비용 / 5인</t>
    <phoneticPr fontId="5" type="noConversion"/>
  </si>
  <si>
    <t>다과(커피)비용 / 강민욱 이사님 활동비 전용 필요</t>
    <phoneticPr fontId="5" type="noConversion"/>
  </si>
  <si>
    <t>숙소 - Inmarsat 세미나 장소 (강민욱, 임유리)</t>
    <phoneticPr fontId="5" type="noConversion"/>
  </si>
  <si>
    <t>DIDI</t>
    <phoneticPr fontId="5" type="noConversion"/>
  </si>
  <si>
    <t>Inmarsat 세미나 장소 - 숙소 (강민욱, 임유리)</t>
    <phoneticPr fontId="5" type="noConversion"/>
  </si>
  <si>
    <t>숙소 - KOMEA 사전간담회 장소 (이정현)</t>
    <phoneticPr fontId="5" type="noConversion"/>
  </si>
  <si>
    <t>KOMEA 사전간담회 장소 - 숙소 (이정현)</t>
    <phoneticPr fontId="5" type="noConversion"/>
  </si>
  <si>
    <t>석식</t>
  </si>
  <si>
    <t>석식 비용 / 5인</t>
    <phoneticPr fontId="5" type="noConversion"/>
  </si>
  <si>
    <t>2025.12.02</t>
    <phoneticPr fontId="5" type="noConversion"/>
  </si>
  <si>
    <t>7-Eleven(嘉里)</t>
    <phoneticPr fontId="5" type="noConversion"/>
  </si>
  <si>
    <t>중식 비용 / 6인</t>
    <phoneticPr fontId="5" type="noConversion"/>
  </si>
  <si>
    <t>석식비용(결제 1)</t>
    <phoneticPr fontId="5" type="noConversion"/>
  </si>
  <si>
    <t>석식비용(결제 2)</t>
    <phoneticPr fontId="5" type="noConversion"/>
  </si>
  <si>
    <t>2025.12.03</t>
  </si>
  <si>
    <t>다과(커피)비용 / 강민욱 이사님 활동비</t>
    <phoneticPr fontId="5" type="noConversion"/>
  </si>
  <si>
    <t>2025.12.03</t>
    <phoneticPr fontId="5" type="noConversion"/>
  </si>
  <si>
    <t>7-Eleven 花木路店</t>
    <phoneticPr fontId="5" type="noConversion"/>
  </si>
  <si>
    <t>2025.12.04</t>
    <phoneticPr fontId="5" type="noConversion"/>
  </si>
  <si>
    <t>활동비</t>
  </si>
  <si>
    <t>팀 활동비</t>
  </si>
  <si>
    <t>다과(커피)비용 / 최민욱 팀장님 활동비</t>
    <phoneticPr fontId="5" type="noConversion"/>
  </si>
  <si>
    <t>feel nine</t>
    <phoneticPr fontId="5" type="noConversion"/>
  </si>
  <si>
    <t>석식비용 / 4인</t>
    <phoneticPr fontId="5" type="noConversion"/>
  </si>
  <si>
    <t>중식비용 / 5인</t>
    <phoneticPr fontId="5" type="noConversion"/>
  </si>
  <si>
    <t>석식장소 - 숙소 이동비용</t>
    <phoneticPr fontId="5" type="noConversion"/>
  </si>
  <si>
    <t>Gmart</t>
    <phoneticPr fontId="5" type="noConversion"/>
  </si>
  <si>
    <t>2025.12.05</t>
    <phoneticPr fontId="5" type="noConversion"/>
  </si>
  <si>
    <t>전시회장 이동비용</t>
    <phoneticPr fontId="5" type="noConversion"/>
  </si>
  <si>
    <t>중식비용 / 4인</t>
    <phoneticPr fontId="5" type="noConversion"/>
  </si>
  <si>
    <t>석식장소 이동비용</t>
    <phoneticPr fontId="5" type="noConversion"/>
  </si>
  <si>
    <t>시내 이동비용</t>
    <phoneticPr fontId="5" type="noConversion"/>
  </si>
  <si>
    <t>숙소 이동비용</t>
    <phoneticPr fontId="5" type="noConversion"/>
  </si>
  <si>
    <t>2025.12.06</t>
    <phoneticPr fontId="5" type="noConversion"/>
  </si>
  <si>
    <t>김해공항 - 자택 이동비용(최민욱)</t>
    <phoneticPr fontId="5" type="noConversion"/>
  </si>
  <si>
    <t>김해공항 - 자택 이동비용(임유리)</t>
    <phoneticPr fontId="5" type="noConversion"/>
  </si>
  <si>
    <t>김해공항 - 자택 이동비용(박정민)</t>
    <phoneticPr fontId="5" type="noConversion"/>
  </si>
  <si>
    <t>중식 추가비용 / 4인, 활동비 사용</t>
    <phoneticPr fontId="5" type="noConversion"/>
  </si>
  <si>
    <t>자택 - 김해공항 이동비용(강민욱)</t>
    <phoneticPr fontId="5" type="noConversion"/>
  </si>
  <si>
    <t>자택 - 김해공항 이동비용(이정현)</t>
    <phoneticPr fontId="5" type="noConversion"/>
  </si>
  <si>
    <t>자택 - 김해공항 이동비용(최민욱)</t>
    <phoneticPr fontId="5" type="noConversion"/>
  </si>
  <si>
    <t>자택 - 김해공항 이동비용(박정민)</t>
    <phoneticPr fontId="5" type="noConversion"/>
  </si>
  <si>
    <t>Marintec China 2025 참가(중국 상해)</t>
    <phoneticPr fontId="5" type="noConversion"/>
  </si>
  <si>
    <t>강민욱 이사, 이정현 매니저, 임유리 매니저, 최민욱 팀장, 박정민 매니저</t>
    <phoneticPr fontId="5" type="noConversion"/>
  </si>
  <si>
    <t>2025.12.01(월) ~ 2025.12.06(토)</t>
    <phoneticPr fontId="5" type="noConversion"/>
  </si>
  <si>
    <t>중국 상해</t>
    <phoneticPr fontId="5" type="noConversion"/>
  </si>
  <si>
    <t>이정현</t>
    <phoneticPr fontId="5" type="noConversion"/>
  </si>
  <si>
    <t>임유리</t>
    <phoneticPr fontId="5" type="noConversion"/>
  </si>
  <si>
    <t>최민욱</t>
    <phoneticPr fontId="5" type="noConversion"/>
  </si>
  <si>
    <t>박정민</t>
    <phoneticPr fontId="5" type="noConversion"/>
  </si>
  <si>
    <t>전시회장 -&gt; 상해 푸동공항 이동비용 / 강민욱 이사님</t>
    <phoneticPr fontId="5" type="noConversion"/>
  </si>
  <si>
    <t>부산-&gt;상해 항공료 / 강민욱</t>
    <phoneticPr fontId="5" type="noConversion"/>
  </si>
  <si>
    <t>부산&lt;-&gt;상해 항공료 / 이정현</t>
    <phoneticPr fontId="5" type="noConversion"/>
  </si>
  <si>
    <t>상해 숙박비 / 강민욱, 2박</t>
    <phoneticPr fontId="5" type="noConversion"/>
  </si>
  <si>
    <t>상해 숙박비 / 임유리, 5박</t>
    <phoneticPr fontId="5" type="noConversion"/>
  </si>
  <si>
    <t>여행자보험 / 강민욱</t>
    <phoneticPr fontId="5" type="noConversion"/>
  </si>
  <si>
    <t>(주)김윤식여행사 와이에스투어</t>
    <phoneticPr fontId="5" type="noConversion"/>
  </si>
  <si>
    <t>2025.11.03</t>
    <phoneticPr fontId="5" type="noConversion"/>
  </si>
  <si>
    <t>보험료</t>
  </si>
  <si>
    <t>여행사수수료</t>
  </si>
  <si>
    <t>상해 푸동 공항 -&gt; 숙소 이동 비용</t>
    <phoneticPr fontId="5" type="noConversion"/>
  </si>
  <si>
    <t>숙소 -&gt; 상해 푸동 공항 이동 비용</t>
    <phoneticPr fontId="5" type="noConversion"/>
  </si>
  <si>
    <t>부산&lt;-&gt;상해 항공료 / 최민욱</t>
    <phoneticPr fontId="5" type="noConversion"/>
  </si>
  <si>
    <t>부산&lt;-&gt;상해 항공료 / 임유리</t>
    <phoneticPr fontId="5" type="noConversion"/>
  </si>
  <si>
    <t>부산&lt;-&gt;상해 항공료 / 박정민</t>
    <phoneticPr fontId="5" type="noConversion"/>
  </si>
  <si>
    <t>Expedia, Inc.</t>
  </si>
  <si>
    <t>Expedia, Inc.</t>
    <phoneticPr fontId="5" type="noConversion"/>
  </si>
  <si>
    <t>2025.10.31</t>
    <phoneticPr fontId="5" type="noConversion"/>
  </si>
  <si>
    <t>에이스아메리칸화재해상보험 주식회사, 처브그룹 컴퍼니</t>
    <phoneticPr fontId="5" type="noConversion"/>
  </si>
  <si>
    <t>여행자보험 / 이정현, 최민욱, 임유리, 박정민</t>
    <phoneticPr fontId="5" type="noConversion"/>
  </si>
  <si>
    <t>2025.11.27</t>
    <phoneticPr fontId="5" type="noConversion"/>
  </si>
  <si>
    <t>㈜마이리얼트립</t>
    <phoneticPr fontId="5" type="noConversion"/>
  </si>
  <si>
    <t>여행사 취급수수료 / 이정현, 최민욱, 임유리, 박정민</t>
    <phoneticPr fontId="5" type="noConversion"/>
  </si>
  <si>
    <t>상해 숙박비 / 이정현, 최민욱, 박정민, 5박</t>
    <phoneticPr fontId="5" type="noConversion"/>
  </si>
  <si>
    <t>-</t>
    <phoneticPr fontId="5" type="noConversion"/>
  </si>
  <si>
    <t>물티슈&amp;다과&amp;물 등 손님 접대용</t>
    <phoneticPr fontId="5" type="noConversion"/>
  </si>
  <si>
    <t>석식장소 이동비용 개인(정민)카드 사용(사유: 택시어플 법인카드 등록이 일시적으로 안됨)</t>
    <phoneticPr fontId="5" type="noConversion"/>
  </si>
  <si>
    <t>푸동공항 이동비용 / 민욱팀장님, 정민</t>
    <phoneticPr fontId="5" type="noConversion"/>
  </si>
  <si>
    <t>CNY</t>
    <phoneticPr fontId="5" type="noConversion"/>
  </si>
  <si>
    <t>통역/안내비 (권미란)</t>
    <phoneticPr fontId="5" type="noConversion"/>
  </si>
  <si>
    <t>통역사(권미란</t>
    <phoneticPr fontId="5" type="noConversion"/>
  </si>
  <si>
    <t>중국 CNY</t>
    <phoneticPr fontId="5" type="noConversion"/>
  </si>
  <si>
    <r>
      <t>朱</t>
    </r>
    <r>
      <rPr>
        <sz val="10"/>
        <color theme="1"/>
        <rFont val="맑은 고딕"/>
        <family val="3"/>
        <charset val="134"/>
        <scheme val="minor"/>
      </rPr>
      <t>妈妈</t>
    </r>
    <r>
      <rPr>
        <sz val="10"/>
        <color theme="1"/>
        <rFont val="맑은 고딕"/>
        <family val="3"/>
        <charset val="129"/>
        <scheme val="minor"/>
      </rPr>
      <t>私</t>
    </r>
    <r>
      <rPr>
        <sz val="10"/>
        <color theme="1"/>
        <rFont val="맑은 고딕"/>
        <family val="3"/>
        <charset val="134"/>
        <scheme val="minor"/>
      </rPr>
      <t>厨</t>
    </r>
    <r>
      <rPr>
        <sz val="10"/>
        <color theme="1"/>
        <rFont val="맑은 고딕"/>
        <family val="3"/>
        <charset val="129"/>
        <scheme val="minor"/>
      </rPr>
      <t>（梅花店）</t>
    </r>
    <r>
      <rPr>
        <sz val="10"/>
        <color theme="1"/>
        <rFont val="맑은 고딕"/>
        <family val="3"/>
        <charset val="134"/>
        <scheme val="minor"/>
      </rPr>
      <t>陈</t>
    </r>
    <r>
      <rPr>
        <sz val="10"/>
        <color theme="1"/>
        <rFont val="맑은 고딕"/>
        <family val="3"/>
        <charset val="129"/>
        <scheme val="minor"/>
      </rPr>
      <t>店</t>
    </r>
    <r>
      <rPr>
        <sz val="10"/>
        <color theme="1"/>
        <rFont val="맑은 고딕"/>
        <family val="3"/>
        <charset val="134"/>
        <scheme val="minor"/>
      </rPr>
      <t>长</t>
    </r>
    <phoneticPr fontId="5" type="noConversion"/>
  </si>
  <si>
    <r>
      <t>梅花路1047</t>
    </r>
    <r>
      <rPr>
        <sz val="10"/>
        <color theme="1"/>
        <rFont val="맑은 고딕"/>
        <family val="3"/>
        <charset val="128"/>
        <scheme val="minor"/>
      </rPr>
      <t>号</t>
    </r>
    <r>
      <rPr>
        <sz val="10"/>
        <color theme="1"/>
        <rFont val="맑은 고딕"/>
        <family val="3"/>
        <charset val="129"/>
        <scheme val="minor"/>
      </rPr>
      <t>店</t>
    </r>
    <phoneticPr fontId="5" type="noConversion"/>
  </si>
  <si>
    <r>
      <t>金老</t>
    </r>
    <r>
      <rPr>
        <sz val="10"/>
        <color theme="1"/>
        <rFont val="맑은 고딕"/>
        <family val="3"/>
        <charset val="134"/>
        <scheme val="minor"/>
      </rPr>
      <t>头汤饭</t>
    </r>
    <r>
      <rPr>
        <sz val="10"/>
        <color theme="1"/>
        <rFont val="맑은 고딕"/>
        <family val="3"/>
        <charset val="129"/>
        <scheme val="minor"/>
      </rPr>
      <t>世</t>
    </r>
    <r>
      <rPr>
        <sz val="10"/>
        <color theme="1"/>
        <rFont val="맑은 고딕"/>
        <family val="3"/>
        <charset val="134"/>
        <scheme val="minor"/>
      </rPr>
      <t>纪</t>
    </r>
    <r>
      <rPr>
        <sz val="10"/>
        <color theme="1"/>
        <rFont val="맑은 고딕"/>
        <family val="3"/>
        <charset val="129"/>
        <scheme val="minor"/>
      </rPr>
      <t>公</t>
    </r>
    <r>
      <rPr>
        <sz val="10"/>
        <color theme="1"/>
        <rFont val="맑은 고딕"/>
        <family val="3"/>
        <charset val="134"/>
        <scheme val="minor"/>
      </rPr>
      <t>园</t>
    </r>
    <r>
      <rPr>
        <sz val="10"/>
        <color theme="1"/>
        <rFont val="맑은 고딕"/>
        <family val="3"/>
        <charset val="129"/>
        <scheme val="minor"/>
      </rPr>
      <t>店2</t>
    </r>
    <phoneticPr fontId="5" type="noConversion"/>
  </si>
  <si>
    <r>
      <t>星巴克臻</t>
    </r>
    <r>
      <rPr>
        <sz val="10"/>
        <color theme="1"/>
        <rFont val="맑은 고딕"/>
        <family val="3"/>
        <charset val="134"/>
        <scheme val="minor"/>
      </rPr>
      <t>选</t>
    </r>
    <r>
      <rPr>
        <sz val="10"/>
        <color theme="1"/>
        <rFont val="맑은 고딕"/>
        <family val="3"/>
        <charset val="129"/>
        <scheme val="minor"/>
      </rPr>
      <t>(浦</t>
    </r>
    <r>
      <rPr>
        <sz val="10"/>
        <color theme="1"/>
        <rFont val="맑은 고딕"/>
        <family val="3"/>
        <charset val="134"/>
        <scheme val="minor"/>
      </rPr>
      <t>东</t>
    </r>
    <r>
      <rPr>
        <sz val="10"/>
        <color theme="1"/>
        <rFont val="맑은 고딕"/>
        <family val="3"/>
        <charset val="129"/>
        <scheme val="minor"/>
      </rPr>
      <t>嘉里城店)</t>
    </r>
    <phoneticPr fontId="5" type="noConversion"/>
  </si>
  <si>
    <r>
      <rPr>
        <sz val="10"/>
        <color theme="1"/>
        <rFont val="맑은 고딕"/>
        <family val="3"/>
        <charset val="128"/>
        <scheme val="minor"/>
      </rPr>
      <t>麦当</t>
    </r>
    <r>
      <rPr>
        <sz val="10"/>
        <color theme="1"/>
        <rFont val="맑은 고딕"/>
        <family val="3"/>
        <charset val="134"/>
        <scheme val="minor"/>
      </rPr>
      <t>劳</t>
    </r>
    <r>
      <rPr>
        <sz val="10"/>
        <color theme="1"/>
        <rFont val="맑은 고딕"/>
        <family val="3"/>
        <charset val="129"/>
        <scheme val="minor"/>
      </rPr>
      <t>(新</t>
    </r>
    <r>
      <rPr>
        <sz val="10"/>
        <color theme="1"/>
        <rFont val="맑은 고딕"/>
        <family val="3"/>
        <charset val="134"/>
        <scheme val="minor"/>
      </rPr>
      <t>国际</t>
    </r>
    <r>
      <rPr>
        <sz val="10"/>
        <color theme="1"/>
        <rFont val="맑은 고딕"/>
        <family val="3"/>
        <charset val="129"/>
        <scheme val="minor"/>
      </rPr>
      <t>餐</t>
    </r>
    <r>
      <rPr>
        <sz val="10"/>
        <color theme="1"/>
        <rFont val="맑은 고딕"/>
        <family val="3"/>
        <charset val="134"/>
        <scheme val="minor"/>
      </rPr>
      <t>厅</t>
    </r>
    <r>
      <rPr>
        <sz val="10"/>
        <color theme="1"/>
        <rFont val="맑은 고딕"/>
        <family val="3"/>
        <charset val="129"/>
        <scheme val="minor"/>
      </rPr>
      <t>)</t>
    </r>
    <phoneticPr fontId="5" type="noConversion"/>
  </si>
  <si>
    <r>
      <rPr>
        <sz val="10"/>
        <color theme="1"/>
        <rFont val="맑은 고딕"/>
        <family val="3"/>
        <charset val="134"/>
        <scheme val="minor"/>
      </rPr>
      <t>赛</t>
    </r>
    <r>
      <rPr>
        <sz val="10"/>
        <color theme="1"/>
        <rFont val="맑은 고딕"/>
        <family val="3"/>
        <charset val="129"/>
        <scheme val="minor"/>
      </rPr>
      <t>百味</t>
    </r>
    <phoneticPr fontId="5" type="noConversion"/>
  </si>
  <si>
    <r>
      <t>上海本原王</t>
    </r>
    <r>
      <rPr>
        <sz val="10"/>
        <color theme="1"/>
        <rFont val="맑은 고딕"/>
        <family val="3"/>
        <charset val="136"/>
        <scheme val="minor"/>
      </rPr>
      <t>烤</t>
    </r>
    <r>
      <rPr>
        <sz val="10"/>
        <color theme="1"/>
        <rFont val="맑은 고딕"/>
        <family val="3"/>
        <charset val="129"/>
        <scheme val="minor"/>
      </rPr>
      <t>肉世</t>
    </r>
    <r>
      <rPr>
        <sz val="10"/>
        <color theme="1"/>
        <rFont val="맑은 고딕"/>
        <family val="3"/>
        <charset val="136"/>
        <scheme val="minor"/>
      </rPr>
      <t>纪</t>
    </r>
    <r>
      <rPr>
        <sz val="10"/>
        <color theme="1"/>
        <rFont val="맑은 고딕"/>
        <family val="3"/>
        <charset val="129"/>
        <scheme val="minor"/>
      </rPr>
      <t>公</t>
    </r>
    <r>
      <rPr>
        <sz val="10"/>
        <color theme="1"/>
        <rFont val="맑은 고딕"/>
        <family val="3"/>
        <charset val="136"/>
        <scheme val="minor"/>
      </rPr>
      <t>园</t>
    </r>
    <r>
      <rPr>
        <sz val="10"/>
        <color theme="1"/>
        <rFont val="맑은 고딕"/>
        <family val="3"/>
        <charset val="129"/>
        <scheme val="minor"/>
      </rPr>
      <t>店</t>
    </r>
    <phoneticPr fontId="5" type="noConversion"/>
  </si>
  <si>
    <r>
      <t>正一品（</t>
    </r>
    <r>
      <rPr>
        <sz val="10"/>
        <color theme="1"/>
        <rFont val="맑은 고딕"/>
        <family val="3"/>
        <charset val="134"/>
        <scheme val="minor"/>
      </rPr>
      <t>银</t>
    </r>
    <r>
      <rPr>
        <sz val="10"/>
        <color theme="1"/>
        <rFont val="맑은 고딕"/>
        <family val="3"/>
        <charset val="129"/>
        <scheme val="minor"/>
      </rPr>
      <t>亭路店)</t>
    </r>
    <phoneticPr fontId="5" type="noConversion"/>
  </si>
  <si>
    <r>
      <t>上海姥姥外</t>
    </r>
    <r>
      <rPr>
        <sz val="10"/>
        <color theme="1"/>
        <rFont val="맑은 고딕"/>
        <family val="3"/>
        <charset val="134"/>
        <scheme val="minor"/>
      </rPr>
      <t>滩</t>
    </r>
    <r>
      <rPr>
        <sz val="10"/>
        <color theme="1"/>
        <rFont val="맑은 고딕"/>
        <family val="3"/>
        <charset val="129"/>
        <scheme val="minor"/>
      </rPr>
      <t>店</t>
    </r>
    <phoneticPr fontId="5" type="noConversion"/>
  </si>
  <si>
    <r>
      <rPr>
        <sz val="10"/>
        <color theme="1"/>
        <rFont val="맑은 고딕"/>
        <family val="3"/>
        <charset val="134"/>
        <scheme val="minor"/>
      </rPr>
      <t>蓝</t>
    </r>
    <r>
      <rPr>
        <sz val="10"/>
        <color theme="1"/>
        <rFont val="맑은 고딕"/>
        <family val="3"/>
        <charset val="129"/>
        <scheme val="minor"/>
      </rPr>
      <t>蛙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</si>
</sst>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-[$₩-412]* #,##0_-;\-[$₩-412]* #,##0_-;_-[$₩-412]* &quot;-&quot;??_-;_-@_-"/>
    <numFmt numFmtId="177" formatCode="[$¥-804]#,##0.00_);[Red]\([$¥-804]#,##0.00\)"/>
    <numFmt numFmtId="178" formatCode="_-[$¥-411]* #,##0_-;\-[$¥-411]* #,##0_-;_-[$¥-411]* &quot;-&quot;??_-;_-@_-"/>
    <numFmt numFmtId="179" formatCode="_-[$USD]\ * #,##0_-;\-[$USD]\ * #,##0_-;_-[$USD]\ * &quot;-&quot;_-;_-@_-"/>
    <numFmt numFmtId="180" formatCode="&quot;₩&quot;#,##0"/>
    <numFmt numFmtId="181" formatCode="_-[$₩-412]* #,##0.00_-;\-[$₩-412]* #,##0.00_-;_-[$₩-412]* &quot;-&quot;??_-;_-@_-"/>
    <numFmt numFmtId="182" formatCode="_-[$¥-411]* #,##0_-;\-[$¥-411]* #,##0_-;_-[$¥-411]* &quot;-&quot;_-;_-@_-"/>
    <numFmt numFmtId="183" formatCode="#,##0\ [$€-1];[Red]\-#,##0\ [$€-1]"/>
    <numFmt numFmtId="184" formatCode="_-* #,##0.00_-;\-* #,##0.00_-;_-* &quot;-&quot;_-;_-@_-"/>
    <numFmt numFmtId="185" formatCode="0_);[Red]\(0\)"/>
    <numFmt numFmtId="186" formatCode="_-[$$-409]* #,##0.00_ ;_-[$$-409]* \-#,##0.00\ ;_-[$$-409]* &quot;-&quot;??_ ;_-@_ "/>
    <numFmt numFmtId="187" formatCode="_-[$SGD]\ * #,##0.00_-;\-[$SGD]\ * #,##0.00_-;_-[$SGD]\ * &quot;-&quot;??_-;_-@_-"/>
    <numFmt numFmtId="188" formatCode="0.00_);[Red]\(0.00\)"/>
    <numFmt numFmtId="189" formatCode="_ [$¥-804]* #,##0.00_ ;_ [$¥-804]* \-#,##0.00_ ;_ [$¥-804]* &quot;-&quot;??_ ;_ @_ "/>
  </numFmts>
  <fonts count="31">
    <font>
      <sz val="10"/>
      <color rgb="FF000000"/>
      <name val="Malgun Gothic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Malgun Gothic"/>
      <family val="2"/>
      <charset val="129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u/>
      <sz val="10"/>
      <color theme="10"/>
      <name val="Malgun Gothic"/>
      <family val="2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b/>
      <sz val="10"/>
      <color theme="0" tint="-0.499984740745262"/>
      <name val="Malgun Gothic"/>
      <family val="2"/>
      <charset val="129"/>
    </font>
    <font>
      <b/>
      <sz val="10"/>
      <color rgb="FF000000"/>
      <name val="Malgun Gothic"/>
      <family val="3"/>
      <charset val="129"/>
    </font>
    <font>
      <b/>
      <sz val="23"/>
      <color theme="1"/>
      <name val="맑은 고딕"/>
      <family val="3"/>
      <charset val="129"/>
      <scheme val="minor"/>
    </font>
    <font>
      <b/>
      <sz val="10"/>
      <color rgb="FF0000FF"/>
      <name val="Malgun Gothic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17">
    <xf numFmtId="0" fontId="0" fillId="0" borderId="0" xfId="0" applyAlignment="1">
      <alignment horizontal="left" vertical="center" wrapText="1"/>
    </xf>
    <xf numFmtId="0" fontId="7" fillId="2" borderId="0" xfId="1" applyFont="1" applyAlignment="1">
      <alignment horizontal="center" vertical="center"/>
    </xf>
    <xf numFmtId="0" fontId="2" fillId="2" borderId="0" xfId="1">
      <alignment vertical="center"/>
    </xf>
    <xf numFmtId="0" fontId="8" fillId="2" borderId="1" xfId="1" applyFont="1" applyBorder="1">
      <alignment vertical="center"/>
    </xf>
    <xf numFmtId="0" fontId="9" fillId="2" borderId="0" xfId="1" applyFont="1">
      <alignment vertical="center"/>
    </xf>
    <xf numFmtId="0" fontId="2" fillId="2" borderId="0" xfId="1" applyAlignment="1">
      <alignment horizontal="left" vertical="center"/>
    </xf>
    <xf numFmtId="0" fontId="10" fillId="3" borderId="0" xfId="1" applyFont="1" applyFill="1">
      <alignment vertical="center"/>
    </xf>
    <xf numFmtId="0" fontId="2" fillId="3" borderId="0" xfId="1" applyFill="1">
      <alignment vertical="center"/>
    </xf>
    <xf numFmtId="0" fontId="2" fillId="3" borderId="0" xfId="1" applyFill="1" applyAlignment="1">
      <alignment horizontal="center" vertical="center"/>
    </xf>
    <xf numFmtId="177" fontId="2" fillId="4" borderId="0" xfId="1" applyNumberFormat="1" applyFill="1">
      <alignment vertical="center"/>
    </xf>
    <xf numFmtId="0" fontId="8" fillId="2" borderId="1" xfId="1" applyFont="1" applyBorder="1" applyAlignment="1">
      <alignment horizontal="center" vertical="center"/>
    </xf>
    <xf numFmtId="176" fontId="8" fillId="2" borderId="1" xfId="1" applyNumberFormat="1" applyFont="1" applyBorder="1" applyAlignment="1">
      <alignment horizontal="center" vertical="center"/>
    </xf>
    <xf numFmtId="0" fontId="2" fillId="2" borderId="0" xfId="1" applyAlignment="1">
      <alignment horizontal="center" vertical="center"/>
    </xf>
    <xf numFmtId="177" fontId="2" fillId="2" borderId="0" xfId="1" applyNumberFormat="1">
      <alignment vertical="center"/>
    </xf>
    <xf numFmtId="0" fontId="8" fillId="3" borderId="0" xfId="1" applyFont="1" applyFill="1">
      <alignment vertical="center"/>
    </xf>
    <xf numFmtId="180" fontId="8" fillId="4" borderId="0" xfId="1" applyNumberFormat="1" applyFont="1" applyFill="1">
      <alignment vertical="center"/>
    </xf>
    <xf numFmtId="180" fontId="8" fillId="2" borderId="0" xfId="1" applyNumberFormat="1" applyFont="1">
      <alignment vertical="center"/>
    </xf>
    <xf numFmtId="0" fontId="8" fillId="2" borderId="0" xfId="1" applyFont="1">
      <alignment vertical="center"/>
    </xf>
    <xf numFmtId="0" fontId="3" fillId="2" borderId="0" xfId="1" applyFont="1">
      <alignment vertical="center"/>
    </xf>
    <xf numFmtId="177" fontId="8" fillId="3" borderId="0" xfId="1" applyNumberFormat="1" applyFont="1" applyFill="1">
      <alignment vertical="center"/>
    </xf>
    <xf numFmtId="177" fontId="3" fillId="2" borderId="0" xfId="1" applyNumberFormat="1" applyFont="1">
      <alignment vertical="center"/>
    </xf>
    <xf numFmtId="177" fontId="8" fillId="2" borderId="0" xfId="1" applyNumberFormat="1" applyFont="1">
      <alignment vertical="center"/>
    </xf>
    <xf numFmtId="0" fontId="4" fillId="2" borderId="0" xfId="1" applyFont="1">
      <alignment vertical="center"/>
    </xf>
    <xf numFmtId="176" fontId="18" fillId="2" borderId="0" xfId="1" applyNumberFormat="1" applyFont="1">
      <alignment vertical="center"/>
    </xf>
    <xf numFmtId="178" fontId="18" fillId="2" borderId="0" xfId="1" applyNumberFormat="1" applyFont="1">
      <alignment vertical="center"/>
    </xf>
    <xf numFmtId="179" fontId="10" fillId="3" borderId="2" xfId="1" applyNumberFormat="1" applyFont="1" applyFill="1" applyBorder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7" fillId="2" borderId="0" xfId="1" applyFont="1">
      <alignment vertical="center"/>
    </xf>
    <xf numFmtId="0" fontId="19" fillId="2" borderId="3" xfId="1" applyFont="1" applyBorder="1">
      <alignment vertical="center"/>
    </xf>
    <xf numFmtId="0" fontId="11" fillId="2" borderId="3" xfId="1" applyFont="1" applyBorder="1" applyAlignment="1">
      <alignment horizontal="right"/>
    </xf>
    <xf numFmtId="178" fontId="8" fillId="4" borderId="1" xfId="1" applyNumberFormat="1" applyFont="1" applyFill="1" applyBorder="1" applyAlignment="1">
      <alignment horizontal="center" vertical="center"/>
    </xf>
    <xf numFmtId="176" fontId="10" fillId="3" borderId="2" xfId="2" applyNumberFormat="1" applyFont="1" applyFill="1" applyBorder="1">
      <alignment vertical="center"/>
    </xf>
    <xf numFmtId="184" fontId="8" fillId="4" borderId="1" xfId="6" applyNumberFormat="1" applyFont="1" applyFill="1" applyBorder="1">
      <alignment vertical="center"/>
    </xf>
    <xf numFmtId="184" fontId="8" fillId="5" borderId="1" xfId="6" applyNumberFormat="1" applyFont="1" applyFill="1" applyBorder="1">
      <alignment vertical="center"/>
    </xf>
    <xf numFmtId="185" fontId="8" fillId="2" borderId="1" xfId="1" applyNumberFormat="1" applyFont="1" applyBorder="1" applyAlignment="1">
      <alignment horizontal="center" vertical="center"/>
    </xf>
    <xf numFmtId="0" fontId="22" fillId="2" borderId="0" xfId="1" applyFont="1" applyAlignment="1">
      <alignment horizontal="center" vertical="center"/>
    </xf>
    <xf numFmtId="181" fontId="11" fillId="2" borderId="0" xfId="1" applyNumberFormat="1" applyFont="1" applyAlignment="1">
      <alignment horizontal="center" vertical="center"/>
    </xf>
    <xf numFmtId="0" fontId="11" fillId="2" borderId="0" xfId="1" applyFont="1" applyAlignment="1">
      <alignment horizontal="center" vertical="center"/>
    </xf>
    <xf numFmtId="182" fontId="11" fillId="2" borderId="0" xfId="1" applyNumberFormat="1" applyFont="1" applyAlignment="1">
      <alignment horizontal="center" vertical="center"/>
    </xf>
    <xf numFmtId="183" fontId="11" fillId="2" borderId="0" xfId="1" applyNumberFormat="1" applyFont="1" applyAlignment="1">
      <alignment horizontal="center" vertical="center"/>
    </xf>
    <xf numFmtId="176" fontId="11" fillId="2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22" fillId="2" borderId="0" xfId="1" applyNumberFormat="1" applyFont="1" applyAlignment="1">
      <alignment horizontal="center" vertical="center"/>
    </xf>
    <xf numFmtId="14" fontId="11" fillId="2" borderId="0" xfId="1" applyNumberFormat="1" applyFont="1" applyAlignment="1">
      <alignment horizontal="center" vertical="center"/>
    </xf>
    <xf numFmtId="0" fontId="22" fillId="6" borderId="7" xfId="1" applyFont="1" applyFill="1" applyBorder="1" applyAlignment="1">
      <alignment horizontal="center" vertical="center"/>
    </xf>
    <xf numFmtId="0" fontId="22" fillId="6" borderId="7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2" fontId="0" fillId="0" borderId="1" xfId="0" applyNumberFormat="1" applyBorder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1" fillId="2" borderId="0" xfId="6" applyNumberFormat="1" applyFont="1" applyFill="1" applyAlignment="1">
      <alignment horizontal="center" vertical="center"/>
    </xf>
    <xf numFmtId="176" fontId="22" fillId="6" borderId="7" xfId="6" applyNumberFormat="1" applyFont="1" applyFill="1" applyBorder="1" applyAlignment="1">
      <alignment horizontal="center" vertical="center"/>
    </xf>
    <xf numFmtId="41" fontId="8" fillId="5" borderId="1" xfId="6" applyFont="1" applyFill="1" applyBorder="1">
      <alignment vertical="center"/>
    </xf>
    <xf numFmtId="0" fontId="25" fillId="6" borderId="1" xfId="0" applyFont="1" applyFill="1" applyBorder="1" applyAlignment="1">
      <alignment horizontal="center" vertical="center" wrapText="1"/>
    </xf>
    <xf numFmtId="182" fontId="22" fillId="7" borderId="7" xfId="1" applyNumberFormat="1" applyFont="1" applyFill="1" applyBorder="1" applyAlignment="1">
      <alignment horizontal="center" vertical="center" wrapText="1"/>
    </xf>
    <xf numFmtId="183" fontId="22" fillId="7" borderId="9" xfId="1" applyNumberFormat="1" applyFont="1" applyFill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/>
    </xf>
    <xf numFmtId="181" fontId="23" fillId="0" borderId="1" xfId="1" applyNumberFormat="1" applyFont="1" applyFill="1" applyBorder="1" applyAlignment="1">
      <alignment horizontal="center" vertical="center"/>
    </xf>
    <xf numFmtId="182" fontId="23" fillId="0" borderId="1" xfId="1" applyNumberFormat="1" applyFont="1" applyFill="1" applyBorder="1" applyAlignment="1">
      <alignment horizontal="center" vertical="center"/>
    </xf>
    <xf numFmtId="176" fontId="23" fillId="0" borderId="1" xfId="6" applyNumberFormat="1" applyFont="1" applyFill="1" applyBorder="1" applyAlignment="1">
      <alignment horizontal="center" vertical="center"/>
    </xf>
    <xf numFmtId="14" fontId="23" fillId="0" borderId="1" xfId="1" applyNumberFormat="1" applyFont="1" applyFill="1" applyBorder="1" applyAlignment="1">
      <alignment horizontal="center" vertical="center"/>
    </xf>
    <xf numFmtId="187" fontId="23" fillId="0" borderId="1" xfId="1" applyNumberFormat="1" applyFont="1" applyFill="1" applyBorder="1" applyAlignment="1">
      <alignment horizontal="center" vertical="center"/>
    </xf>
    <xf numFmtId="186" fontId="23" fillId="0" borderId="1" xfId="1" applyNumberFormat="1" applyFont="1" applyFill="1" applyBorder="1" applyAlignment="1">
      <alignment horizontal="center" vertical="center"/>
    </xf>
    <xf numFmtId="176" fontId="23" fillId="0" borderId="0" xfId="6" applyNumberFormat="1" applyFont="1" applyFill="1" applyBorder="1" applyAlignment="1">
      <alignment horizontal="center" vertical="center"/>
    </xf>
    <xf numFmtId="14" fontId="22" fillId="6" borderId="7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188" fontId="0" fillId="0" borderId="1" xfId="6" applyNumberFormat="1" applyFont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14" fontId="25" fillId="6" borderId="7" xfId="0" applyNumberFormat="1" applyFont="1" applyFill="1" applyBorder="1" applyAlignment="1">
      <alignment horizontal="center" vertical="center" wrapText="1"/>
    </xf>
    <xf numFmtId="41" fontId="0" fillId="5" borderId="1" xfId="6" applyFont="1" applyFill="1" applyBorder="1" applyAlignment="1">
      <alignment horizontal="center" vertical="center" wrapText="1"/>
    </xf>
    <xf numFmtId="14" fontId="22" fillId="6" borderId="10" xfId="1" applyNumberFormat="1" applyFont="1" applyFill="1" applyBorder="1" applyAlignment="1">
      <alignment horizontal="center" vertical="center"/>
    </xf>
    <xf numFmtId="183" fontId="22" fillId="7" borderId="7" xfId="1" applyNumberFormat="1" applyFont="1" applyFill="1" applyBorder="1" applyAlignment="1">
      <alignment horizontal="center" vertical="center" wrapText="1"/>
    </xf>
    <xf numFmtId="176" fontId="22" fillId="6" borderId="9" xfId="6" applyNumberFormat="1" applyFont="1" applyFill="1" applyBorder="1" applyAlignment="1">
      <alignment horizontal="center" vertical="center"/>
    </xf>
    <xf numFmtId="41" fontId="8" fillId="2" borderId="1" xfId="6" applyFont="1" applyFill="1" applyBorder="1" applyAlignment="1">
      <alignment horizontal="center" vertical="center"/>
    </xf>
    <xf numFmtId="176" fontId="8" fillId="2" borderId="1" xfId="6" applyNumberFormat="1" applyFont="1" applyFill="1" applyBorder="1" applyAlignment="1">
      <alignment vertical="center"/>
    </xf>
    <xf numFmtId="0" fontId="8" fillId="2" borderId="1" xfId="1" applyFont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14" fontId="25" fillId="7" borderId="1" xfId="0" applyNumberFormat="1" applyFont="1" applyFill="1" applyBorder="1" applyAlignment="1">
      <alignment horizontal="center" vertical="center" wrapText="1"/>
    </xf>
    <xf numFmtId="14" fontId="25" fillId="7" borderId="7" xfId="0" applyNumberFormat="1" applyFont="1" applyFill="1" applyBorder="1" applyAlignment="1">
      <alignment horizontal="center" vertical="center" wrapText="1"/>
    </xf>
    <xf numFmtId="14" fontId="11" fillId="0" borderId="11" xfId="1" applyNumberFormat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189" fontId="11" fillId="0" borderId="8" xfId="1" applyNumberFormat="1" applyFont="1" applyFill="1" applyBorder="1" applyAlignment="1">
      <alignment horizontal="center" vertical="center"/>
    </xf>
    <xf numFmtId="176" fontId="11" fillId="0" borderId="12" xfId="6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left" vertical="center"/>
    </xf>
    <xf numFmtId="189" fontId="11" fillId="0" borderId="1" xfId="1" applyNumberFormat="1" applyFont="1" applyFill="1" applyBorder="1" applyAlignment="1">
      <alignment horizontal="center" vertical="center"/>
    </xf>
    <xf numFmtId="14" fontId="11" fillId="0" borderId="6" xfId="1" applyNumberFormat="1" applyFont="1" applyFill="1" applyBorder="1" applyAlignment="1">
      <alignment horizontal="center" vertical="center"/>
    </xf>
    <xf numFmtId="181" fontId="11" fillId="0" borderId="1" xfId="1" applyNumberFormat="1" applyFont="1" applyFill="1" applyBorder="1" applyAlignment="1">
      <alignment horizontal="center" vertical="center"/>
    </xf>
    <xf numFmtId="182" fontId="11" fillId="0" borderId="1" xfId="1" applyNumberFormat="1" applyFont="1" applyFill="1" applyBorder="1" applyAlignment="1">
      <alignment horizontal="center" vertical="center"/>
    </xf>
    <xf numFmtId="176" fontId="11" fillId="0" borderId="4" xfId="6" applyNumberFormat="1" applyFont="1" applyFill="1" applyBorder="1" applyAlignment="1">
      <alignment horizontal="center" vertical="center"/>
    </xf>
    <xf numFmtId="0" fontId="19" fillId="2" borderId="3" xfId="1" applyFont="1" applyBorder="1" applyAlignment="1">
      <alignment horizontal="left" vertical="center"/>
    </xf>
    <xf numFmtId="176" fontId="8" fillId="2" borderId="1" xfId="1" applyNumberFormat="1" applyFont="1" applyBorder="1" applyAlignment="1">
      <alignment horizontal="left" vertical="center" wrapText="1"/>
    </xf>
    <xf numFmtId="0" fontId="26" fillId="2" borderId="0" xfId="1" applyFont="1" applyAlignment="1">
      <alignment horizontal="center" vertical="center"/>
    </xf>
    <xf numFmtId="176" fontId="8" fillId="2" borderId="1" xfId="1" applyNumberFormat="1" applyFont="1" applyBorder="1" applyAlignment="1">
      <alignment horizontal="left" vertical="center"/>
    </xf>
    <xf numFmtId="0" fontId="9" fillId="2" borderId="2" xfId="1" applyFont="1" applyBorder="1" applyAlignment="1">
      <alignment horizontal="center"/>
    </xf>
    <xf numFmtId="176" fontId="8" fillId="2" borderId="1" xfId="1" applyNumberFormat="1" applyFont="1" applyBorder="1" applyAlignment="1">
      <alignment horizontal="center" vertical="center"/>
    </xf>
    <xf numFmtId="184" fontId="8" fillId="0" borderId="1" xfId="6" applyNumberFormat="1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20" fillId="7" borderId="4" xfId="7" applyFill="1" applyBorder="1" applyAlignment="1">
      <alignment horizontal="center" vertical="center" wrapText="1"/>
    </xf>
    <xf numFmtId="0" fontId="20" fillId="7" borderId="5" xfId="7" applyFill="1" applyBorder="1" applyAlignment="1">
      <alignment horizontal="center" vertical="center" wrapText="1"/>
    </xf>
    <xf numFmtId="0" fontId="20" fillId="7" borderId="6" xfId="7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182" fontId="22" fillId="7" borderId="0" xfId="1" applyNumberFormat="1" applyFont="1" applyFill="1" applyAlignment="1">
      <alignment horizontal="center" vertical="center" wrapText="1"/>
    </xf>
    <xf numFmtId="182" fontId="22" fillId="7" borderId="3" xfId="1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176" fontId="11" fillId="2" borderId="0" xfId="6" applyNumberFormat="1" applyFont="1" applyFill="1" applyAlignment="1">
      <alignment horizontal="center" vertical="center"/>
    </xf>
    <xf numFmtId="182" fontId="22" fillId="7" borderId="1" xfId="1" applyNumberFormat="1" applyFont="1" applyFill="1" applyBorder="1" applyAlignment="1">
      <alignment horizontal="center" vertical="center"/>
    </xf>
    <xf numFmtId="0" fontId="20" fillId="6" borderId="4" xfId="7" applyFill="1" applyBorder="1" applyAlignment="1">
      <alignment horizontal="center" vertical="center" wrapText="1"/>
    </xf>
    <xf numFmtId="0" fontId="20" fillId="6" borderId="5" xfId="7" applyFill="1" applyBorder="1" applyAlignment="1">
      <alignment horizontal="center" vertical="center" wrapText="1"/>
    </xf>
    <xf numFmtId="0" fontId="20" fillId="6" borderId="6" xfId="7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14" fontId="22" fillId="2" borderId="0" xfId="1" applyNumberFormat="1" applyFont="1" applyAlignment="1">
      <alignment horizontal="left" vertical="top" wrapText="1"/>
    </xf>
  </cellXfs>
  <cellStyles count="8">
    <cellStyle name="쉼표 [0]" xfId="6" builtinId="6"/>
    <cellStyle name="쉼표 [0] 2" xfId="2" xr:uid="{5AC2AF38-0C4E-4143-AA59-438219A85255}"/>
    <cellStyle name="쉼표 [0] 2 2" xfId="5" xr:uid="{4B6A6016-2A8E-4266-9137-6BBCBFCAA35F}"/>
    <cellStyle name="표준" xfId="0" builtinId="0"/>
    <cellStyle name="표준 2" xfId="1" xr:uid="{AB7359C4-BE31-40AE-A55D-ED2AA4381B9B}"/>
    <cellStyle name="표준 2 2" xfId="4" xr:uid="{8857644F-731E-4F3D-A160-4430051B89EF}"/>
    <cellStyle name="표준 3" xfId="3" xr:uid="{5299BEB4-E863-478D-90E2-BD8EACD86E64}"/>
    <cellStyle name="하이퍼링크" xfId="7" builtinId="8"/>
  </cellStyles>
  <dxfs count="32">
    <dxf>
      <font>
        <color rgb="FFFF0000"/>
      </font>
    </dxf>
    <dxf>
      <font>
        <color rgb="FFFF0000"/>
      </font>
    </dxf>
    <dxf>
      <font>
        <color rgb="FFFF000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[$₩-412]* #,##0_-;\-[$₩-412]* #,##0_-;_-[$₩-412]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9" formatCode="_ [$¥-804]* #,##0.00_ ;_ [$¥-804]* \-#,##0.00_ ;_ [$¥-804]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_-[$¥-411]* #,##0_-;\-[$¥-411]* #,##0_-;_-[$¥-411]* &quot;-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_-[$₩-412]* #,##0.00_-;\-[$₩-412]* #,##0.00_-;_-[$₩-412]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89649</xdr:colOff>
      <xdr:row>3</xdr:row>
      <xdr:rowOff>313765</xdr:rowOff>
    </xdr:from>
    <xdr:to>
      <xdr:col>16</xdr:col>
      <xdr:colOff>123265</xdr:colOff>
      <xdr:row>24</xdr:row>
      <xdr:rowOff>280147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C3B936-FB80-190A-7656-C9A0BD0A4873}"/>
            </a:ext>
          </a:extLst>
        </xdr:cNvPr>
        <xdr:cNvSpPr txBox="1"/>
      </xdr:nvSpPr>
      <xdr:spPr>
        <a:xfrm>
          <a:off x="8572502" y="1288677"/>
          <a:ext cx="5916704" cy="6252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400" b="1">
              <a:latin typeface="+mn-ea"/>
              <a:ea typeface="+mn-ea"/>
            </a:rPr>
            <a:t>&lt;</a:t>
          </a:r>
          <a:r>
            <a:rPr lang="ko-KR" altLang="en-US" sz="1400" b="1">
              <a:latin typeface="+mn-ea"/>
              <a:ea typeface="+mn-ea"/>
            </a:rPr>
            <a:t>작성 가이드</a:t>
          </a:r>
          <a:r>
            <a:rPr lang="en-US" altLang="ko-KR" sz="1400" b="1">
              <a:latin typeface="+mn-ea"/>
              <a:ea typeface="+mn-ea"/>
            </a:rPr>
            <a:t>&gt;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1.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양식을 임의로 변경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/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삭제하지 마십시오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2.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회색 셀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(12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행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, E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열 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16~18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행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)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의 수식을 임의로 수정하지 마십시오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3.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외화선급금이 없는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3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미작성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4.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사용 내역이 없는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미작성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5.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카드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현금을 사용한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1)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카드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현금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의 사용이 가능한 경우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카드의 오류로 인해 일시적 사용 인정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카드의 분실로 인해 사용이 불가한 경우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카드를 보유한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출장자와 일정이 다른 경우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선급금을 받은 경우 불인정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선급금을 전액 소진하였는데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현금 사용만 가능한 경우 개인 현금 인정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2)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단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위 경우에도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증빙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실물 영수증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없다면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불인정함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3) </a:t>
          </a:r>
          <a:r>
            <a:rPr lang="ko-KR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외 사유는 증빙이 있더라도 모두 불인정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하며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'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세부내역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시트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열에 반드시 사유 기입</a:t>
          </a:r>
          <a:endParaRPr lang="ko-KR" altLang="ko-K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369794</xdr:colOff>
      <xdr:row>3</xdr:row>
      <xdr:rowOff>0</xdr:rowOff>
    </xdr:from>
    <xdr:to>
      <xdr:col>9</xdr:col>
      <xdr:colOff>244386</xdr:colOff>
      <xdr:row>39</xdr:row>
      <xdr:rowOff>127713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089967-AAA5-DCE6-857F-ACED8376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912" y="638735"/>
          <a:ext cx="4715533" cy="779253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10</xdr:col>
      <xdr:colOff>537883</xdr:colOff>
      <xdr:row>3</xdr:row>
      <xdr:rowOff>0</xdr:rowOff>
    </xdr:from>
    <xdr:to>
      <xdr:col>23</xdr:col>
      <xdr:colOff>381001</xdr:colOff>
      <xdr:row>34</xdr:row>
      <xdr:rowOff>33617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EE0FBB-6043-40ED-A9F1-84559E9D8675}"/>
            </a:ext>
          </a:extLst>
        </xdr:cNvPr>
        <xdr:cNvSpPr txBox="1"/>
      </xdr:nvSpPr>
      <xdr:spPr>
        <a:xfrm>
          <a:off x="6589059" y="638735"/>
          <a:ext cx="7709648" cy="6633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400" b="1">
              <a:latin typeface="+mn-ea"/>
              <a:ea typeface="+mn-ea"/>
            </a:rPr>
            <a:t>&lt;</a:t>
          </a:r>
          <a:r>
            <a:rPr lang="ko-KR" altLang="en-US" sz="1400" b="1">
              <a:latin typeface="+mn-ea"/>
              <a:ea typeface="+mn-ea"/>
            </a:rPr>
            <a:t>영수증 가이드</a:t>
          </a:r>
          <a:r>
            <a:rPr lang="en-US" altLang="ko-KR" sz="1400" b="1">
              <a:latin typeface="+mn-ea"/>
              <a:ea typeface="+mn-ea"/>
            </a:rPr>
            <a:t>&gt;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1. </a:t>
          </a:r>
          <a:r>
            <a:rPr lang="ko-KR" altLang="en-US" sz="1100" b="0">
              <a:latin typeface="+mn-ea"/>
              <a:ea typeface="+mn-ea"/>
            </a:rPr>
            <a:t>법인 현금</a:t>
          </a:r>
          <a:r>
            <a:rPr lang="en-US" altLang="ko-KR" sz="1100" b="0">
              <a:latin typeface="+mn-ea"/>
              <a:ea typeface="+mn-ea"/>
            </a:rPr>
            <a:t>+</a:t>
          </a:r>
          <a:r>
            <a:rPr lang="ko-KR" altLang="en-US" sz="1100" b="0">
              <a:latin typeface="+mn-ea"/>
              <a:ea typeface="+mn-ea"/>
            </a:rPr>
            <a:t>카드 </a:t>
          </a:r>
          <a:r>
            <a:rPr lang="en-US" altLang="ko-KR" sz="1100" b="0">
              <a:latin typeface="+mn-ea"/>
              <a:ea typeface="+mn-ea"/>
            </a:rPr>
            <a:t>/ </a:t>
          </a:r>
          <a:r>
            <a:rPr lang="ko-KR" altLang="en-US" sz="1100" b="0">
              <a:latin typeface="+mn-ea"/>
              <a:ea typeface="+mn-ea"/>
            </a:rPr>
            <a:t>개인 현금</a:t>
          </a:r>
          <a:r>
            <a:rPr lang="en-US" altLang="ko-KR" sz="1100" b="0">
              <a:latin typeface="+mn-ea"/>
              <a:ea typeface="+mn-ea"/>
            </a:rPr>
            <a:t>+</a:t>
          </a:r>
          <a:r>
            <a:rPr lang="ko-KR" altLang="en-US" sz="1100" b="0">
              <a:latin typeface="+mn-ea"/>
              <a:ea typeface="+mn-ea"/>
            </a:rPr>
            <a:t>카드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모든 영수증은 필수 </a:t>
          </a:r>
          <a:r>
            <a:rPr lang="ko-KR" altLang="en-US" sz="1100" b="0">
              <a:latin typeface="+mn-ea"/>
              <a:ea typeface="+mn-ea"/>
            </a:rPr>
            <a:t>입니다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2.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영수증의 원본 훼손을 엄격히 금지 합니다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→ 탈부착하여 정산 필요합니다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원본이 훼손되지 않도록 유의 바랍니다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r>
            <a:rPr lang="en-US" altLang="ko-KR" sz="1100" b="0">
              <a:solidFill>
                <a:schemeClr val="tx1"/>
              </a:solidFill>
              <a:latin typeface="+mn-ea"/>
              <a:ea typeface="+mn-ea"/>
            </a:rPr>
            <a:t> 1)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원본에는 번호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형광펜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각종 기입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등 금지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2)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이면지에 </a:t>
          </a:r>
          <a:r>
            <a:rPr lang="ko-KR" altLang="en-US" sz="1100" b="1" baseline="0">
              <a:solidFill>
                <a:srgbClr val="FF0000"/>
              </a:solidFill>
              <a:latin typeface="+mn-ea"/>
              <a:ea typeface="+mn-ea"/>
            </a:rPr>
            <a:t>영수증 부착 후</a:t>
          </a:r>
          <a:r>
            <a:rPr lang="en-US" altLang="ko-KR" sz="1100" b="1" baseline="0">
              <a:solidFill>
                <a:srgbClr val="FF0000"/>
              </a:solidFill>
              <a:latin typeface="+mn-ea"/>
              <a:ea typeface="+mn-ea"/>
            </a:rPr>
            <a:t>, </a:t>
          </a:r>
          <a:r>
            <a:rPr lang="ko-KR" altLang="en-US" sz="1100" b="1" u="sng" baseline="0">
              <a:solidFill>
                <a:srgbClr val="FF0000"/>
              </a:solidFill>
              <a:latin typeface="+mn-ea"/>
              <a:ea typeface="+mn-ea"/>
            </a:rPr>
            <a:t>이면지에 증빙 번호를 기입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해주십시오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(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그림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올바른 예시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1,3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/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잘못된 예시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2,4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3)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영수증은 </a:t>
          </a:r>
          <a:r>
            <a:rPr lang="ko-KR" altLang="en-US" sz="1100" b="1" baseline="0">
              <a:solidFill>
                <a:srgbClr val="FF0000"/>
              </a:solidFill>
              <a:latin typeface="+mn-ea"/>
              <a:ea typeface="+mn-ea"/>
            </a:rPr>
            <a:t>정중앙에만 접착제를 도포하여 부착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해주시기 바랍니다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 </a:t>
          </a: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3.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 원본은 경영지원팀에 제출하여주시기 바랍니다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7ADE38-D279-43F7-B1E6-5632FB43D328}" name="정산표" displayName="정산표" ref="B6:L63" totalsRowShown="0" headerRowDxfId="31" dataDxfId="29" headerRowBorderDxfId="30" tableBorderDxfId="28" totalsRowBorderDxfId="27">
  <autoFilter ref="B6:L63" xr:uid="{647ADE38-D279-43F7-B1E6-5632FB43D328}"/>
  <sortState xmlns:xlrd2="http://schemas.microsoft.com/office/spreadsheetml/2017/richdata2" ref="B7:L63">
    <sortCondition ref="C6:C63"/>
  </sortState>
  <tableColumns count="11">
    <tableColumn id="1" xr3:uid="{E00039C9-66CF-4AD2-8F91-A5155CD3E106}" name="(현지)결제일자" dataDxfId="26" dataCellStyle="표준 2"/>
    <tableColumn id="2" xr3:uid="{BF441DEA-8C88-418F-BD3C-6944774AF27F}" name="증빙번호" dataDxfId="25" dataCellStyle="표준 2"/>
    <tableColumn id="3" xr3:uid="{1F9E2E4F-18DD-4289-9C4E-F427DF0727C2}" name="결제방법" dataDxfId="24" dataCellStyle="표준 2"/>
    <tableColumn id="4" xr3:uid="{6C17849B-F228-459E-8C77-912F815DD085}" name="카드번호_x000a_(해당시)" dataDxfId="23" dataCellStyle="표준 2"/>
    <tableColumn id="5" xr3:uid="{02D11C25-188A-4E2C-9C51-373DCE28D2B9}" name="구분" dataDxfId="22" dataCellStyle="표준 2"/>
    <tableColumn id="6" xr3:uid="{6565CF54-7AAC-47DB-AFF6-533A788AABBB}" name="항목" dataDxfId="21" dataCellStyle="표준 2"/>
    <tableColumn id="7" xr3:uid="{B20DC194-C83F-4077-94BE-1A430DDBA09D}" name="사용 목적_x000a_(개인 카드·현금 사용 사유)" dataDxfId="20" dataCellStyle="표준 2"/>
    <tableColumn id="8" xr3:uid="{38C5A4A8-F350-4E91-AB20-85B75869F76A}" name="거래처/가맹점명" dataDxfId="19" dataCellStyle="표준 2"/>
    <tableColumn id="9" xr3:uid="{96420C42-EEAE-411B-8174-F469F587B544}" name="외화구분_x000a_(해당시)" dataDxfId="18" dataCellStyle="표준 2"/>
    <tableColumn id="10" xr3:uid="{AB597A39-EDB9-4964-A3EF-466F5EE6F9AB}" name="현지금액_x000a_(해당시)" dataDxfId="17" dataCellStyle="표준 2"/>
    <tableColumn id="11" xr3:uid="{204B1C1A-8007-4381-BD39-5B5D233361E2}" name="결제금액 (원)" dataDxfId="16" dataCellStyle="쉼표 [0]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94D6B-C127-422B-BEFA-B4587CE3F584}" name="정산표_6" displayName="정산표_6" ref="C6:M10" totalsRowShown="0" headerRowBorderDxfId="15" tableBorderDxfId="14">
  <autoFilter ref="C6:M10" xr:uid="{647ADE38-D279-43F7-B1E6-5632FB43D328}"/>
  <tableColumns count="11">
    <tableColumn id="1" xr3:uid="{8C2C4E59-5AE2-4730-85BB-6E53B3866FEE}" name="(현지)결제일자" dataDxfId="13"/>
    <tableColumn id="2" xr3:uid="{73F16C8F-6C76-4E46-97F6-1F69CE5F956E}" name="증빙번호" dataDxfId="12"/>
    <tableColumn id="3" xr3:uid="{1ADAE1DD-A394-40E9-BC76-BF91678E89A0}" name="결제방법" dataDxfId="11"/>
    <tableColumn id="4" xr3:uid="{93B385F7-846A-4F53-B179-2724EAFC81B6}" name="카드번호_x000a_(해당시)" dataDxfId="10"/>
    <tableColumn id="5" xr3:uid="{777BA959-1C33-4F19-ABE8-A646F5F8EF4C}" name="구분" dataDxfId="9"/>
    <tableColumn id="6" xr3:uid="{9658AF18-E4A2-4779-80FE-F5C757791FF3}" name="항목" dataDxfId="8"/>
    <tableColumn id="7" xr3:uid="{F43406E2-5C90-486E-BE5F-5279654C30B7}" name="사용 목적_x000a_(개인 카드·현금 사용 사유)" dataDxfId="7"/>
    <tableColumn id="8" xr3:uid="{020EA346-8414-4548-A2F0-898CCC2410CA}" name="거래처/가맹점명" dataDxfId="6"/>
    <tableColumn id="9" xr3:uid="{A4A04689-3FA4-4063-BDB5-12492C8A0252}" name="외화_x000a_(해당시)" dataDxfId="5"/>
    <tableColumn id="10" xr3:uid="{806C4A00-C5B3-493B-90C9-FB160C790B7D}" name="현지금액_x000a_(해당시)" dataDxfId="4"/>
    <tableColumn id="11" xr3:uid="{61DE370D-0604-4C03-9367-C87E97BFA6B9}" name="결제금액 (원)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9A7604-CAB7-423A-A527-240CFD985E8A}" name="표3" displayName="표3" ref="C2:I9" totalsRowShown="0">
  <autoFilter ref="C2:I9" xr:uid="{289A7604-CAB7-423A-A527-240CFD985E8A}"/>
  <tableColumns count="7">
    <tableColumn id="1" xr3:uid="{944E802F-F136-4041-A5B1-0E0DFF4211D1}" name="구분"/>
    <tableColumn id="2" xr3:uid="{170FA715-389E-44CE-9D9D-986E180DD895}" name="교통비"/>
    <tableColumn id="3" xr3:uid="{657AE94F-515C-41F6-854B-E7F42B1CA985}" name="숙박비"/>
    <tableColumn id="4" xr3:uid="{3FFA87B9-8DC3-4759-B8A3-7906409408E8}" name="식비"/>
    <tableColumn id="5" xr3:uid="{573948A2-83FA-47E7-8F32-FB7FFC309C66}" name="기타경비"/>
    <tableColumn id="6" xr3:uid="{2E9AB383-077C-4F40-A2C5-7308E106A537}" name="업무추진비"/>
    <tableColumn id="7" xr3:uid="{842B1055-FA88-4069-AE28-E3D473049B87}" name="활동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mbs.biz/ExRate/TodayExRate.jsp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mbs.biz/ExRate/TodayExRate.jsp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775E-4948-4CD6-B1D2-731DB2258082}">
  <sheetPr>
    <tabColor theme="4"/>
    <pageSetUpPr fitToPage="1"/>
  </sheetPr>
  <dimension ref="B2:V69"/>
  <sheetViews>
    <sheetView showGridLines="0" view="pageBreakPreview" zoomScaleNormal="100" zoomScaleSheetLayoutView="100" workbookViewId="0">
      <selection activeCell="C5" sqref="C5:G5"/>
    </sheetView>
  </sheetViews>
  <sheetFormatPr defaultColWidth="10.28515625" defaultRowHeight="16.5"/>
  <cols>
    <col min="1" max="1" width="4" style="2" customWidth="1"/>
    <col min="2" max="2" width="15.7109375" style="2" customWidth="1"/>
    <col min="3" max="3" width="15.7109375" style="23" customWidth="1"/>
    <col min="4" max="4" width="15.7109375" style="24" customWidth="1"/>
    <col min="5" max="7" width="15.7109375" style="23" customWidth="1"/>
    <col min="8" max="8" width="11.42578125" style="2" bestFit="1" customWidth="1"/>
    <col min="9" max="9" width="20.5703125" style="2" customWidth="1"/>
    <col min="10" max="10" width="13.85546875" style="2" bestFit="1" customWidth="1"/>
    <col min="11" max="13" width="10.28515625" style="2"/>
    <col min="14" max="14" width="10.5703125" style="2" bestFit="1" customWidth="1"/>
    <col min="15" max="15" width="2.28515625" style="2" customWidth="1"/>
    <col min="16" max="16384" width="10.28515625" style="2"/>
  </cols>
  <sheetData>
    <row r="2" spans="2:14" ht="45" customHeight="1">
      <c r="B2" s="92" t="s">
        <v>82</v>
      </c>
      <c r="C2" s="92"/>
      <c r="D2" s="92"/>
      <c r="E2" s="92"/>
      <c r="F2" s="92"/>
      <c r="G2" s="92"/>
      <c r="H2" s="27"/>
      <c r="I2" s="1"/>
      <c r="J2" s="22"/>
      <c r="K2" s="22"/>
      <c r="L2" s="22"/>
      <c r="M2" s="22"/>
      <c r="N2" s="22"/>
    </row>
    <row r="3" spans="2:14" ht="15" customHeight="1">
      <c r="B3" s="26"/>
      <c r="C3" s="26"/>
      <c r="D3" s="26"/>
      <c r="E3" s="26"/>
      <c r="F3" s="26"/>
      <c r="G3" s="26"/>
      <c r="H3" s="27"/>
      <c r="I3" s="1"/>
      <c r="J3" s="22"/>
      <c r="K3" s="22"/>
      <c r="L3" s="22"/>
      <c r="M3" s="22"/>
      <c r="N3" s="22"/>
    </row>
    <row r="4" spans="2:14" ht="30" customHeight="1">
      <c r="B4" s="28" t="s">
        <v>26</v>
      </c>
      <c r="C4" s="28"/>
      <c r="D4" s="28"/>
      <c r="E4" s="28"/>
      <c r="F4" s="28"/>
      <c r="G4" s="29"/>
      <c r="I4" s="8"/>
      <c r="J4" s="9"/>
      <c r="K4" s="7"/>
      <c r="L4" s="7"/>
      <c r="M4" s="7"/>
    </row>
    <row r="5" spans="2:14" ht="30" customHeight="1">
      <c r="B5" s="3" t="s">
        <v>4</v>
      </c>
      <c r="C5" s="93"/>
      <c r="D5" s="93"/>
      <c r="E5" s="93"/>
      <c r="F5" s="93"/>
      <c r="G5" s="93"/>
      <c r="H5" s="4"/>
      <c r="J5" s="22"/>
      <c r="K5" s="22"/>
      <c r="L5" s="22"/>
      <c r="M5" s="22"/>
      <c r="N5" s="22"/>
    </row>
    <row r="6" spans="2:14" ht="30" customHeight="1">
      <c r="B6" s="3" t="s">
        <v>81</v>
      </c>
      <c r="C6" s="93"/>
      <c r="D6" s="93"/>
      <c r="E6" s="93"/>
      <c r="F6" s="93"/>
      <c r="G6" s="93"/>
      <c r="H6" s="5"/>
      <c r="J6" s="6"/>
      <c r="K6" s="6"/>
      <c r="L6" s="6"/>
      <c r="M6" s="6"/>
    </row>
    <row r="7" spans="2:14" ht="30" customHeight="1">
      <c r="B7" s="3" t="s">
        <v>6</v>
      </c>
      <c r="C7" s="93"/>
      <c r="D7" s="93"/>
      <c r="E7" s="93"/>
      <c r="F7" s="93"/>
      <c r="G7" s="93"/>
      <c r="H7" s="4"/>
      <c r="J7" s="22"/>
      <c r="K7" s="22"/>
      <c r="L7" s="22"/>
      <c r="M7" s="22"/>
      <c r="N7" s="22"/>
    </row>
    <row r="8" spans="2:14" ht="30" customHeight="1">
      <c r="B8" s="3" t="s">
        <v>7</v>
      </c>
      <c r="C8" s="93"/>
      <c r="D8" s="93"/>
      <c r="E8" s="93"/>
      <c r="F8" s="93"/>
      <c r="G8" s="93"/>
      <c r="H8" s="5"/>
      <c r="J8" s="9"/>
      <c r="K8" s="7"/>
      <c r="L8" s="7"/>
      <c r="M8" s="7"/>
    </row>
    <row r="9" spans="2:14" ht="15" customHeight="1">
      <c r="B9" s="94"/>
      <c r="C9" s="94"/>
      <c r="D9" s="94"/>
      <c r="E9" s="94"/>
      <c r="F9" s="94"/>
      <c r="G9" s="94"/>
      <c r="I9" s="8"/>
      <c r="J9" s="9"/>
      <c r="K9" s="7"/>
      <c r="L9" s="7"/>
      <c r="M9" s="7"/>
    </row>
    <row r="10" spans="2:14" ht="30" customHeight="1">
      <c r="B10" s="90" t="s">
        <v>23</v>
      </c>
      <c r="C10" s="90"/>
      <c r="D10" s="90"/>
      <c r="E10" s="90"/>
      <c r="F10" s="90"/>
      <c r="G10" s="29" t="s">
        <v>22</v>
      </c>
      <c r="I10" s="8"/>
      <c r="J10" s="9"/>
      <c r="K10" s="7"/>
      <c r="L10" s="7"/>
      <c r="M10" s="7"/>
    </row>
    <row r="11" spans="2:14" ht="30" customHeight="1">
      <c r="B11" s="10" t="s">
        <v>0</v>
      </c>
      <c r="C11" s="11" t="s">
        <v>2</v>
      </c>
      <c r="D11" s="30" t="s">
        <v>1</v>
      </c>
      <c r="E11" s="11" t="s">
        <v>16</v>
      </c>
      <c r="F11" s="11" t="s">
        <v>37</v>
      </c>
      <c r="G11" s="11" t="s">
        <v>57</v>
      </c>
      <c r="J11" s="9"/>
      <c r="K11" s="7"/>
      <c r="L11" s="7"/>
      <c r="M11" s="7"/>
    </row>
    <row r="12" spans="2:14" ht="30" customHeight="1">
      <c r="B12" s="52">
        <f>세부내역!O11</f>
      </c>
      <c r="C12" s="52">
        <f>세부내역!P11</f>
      </c>
      <c r="D12" s="52">
        <f>세부내역!Q11</f>
      </c>
      <c r="E12" s="52">
        <f>세부내역!R11</f>
      </c>
      <c r="F12" s="52">
        <f>세부내역!S11</f>
      </c>
      <c r="G12" s="52">
        <f>세부내역!T11</f>
      </c>
      <c r="I12" s="12"/>
      <c r="J12" s="9"/>
      <c r="K12" s="7"/>
      <c r="L12" s="7"/>
      <c r="M12" s="7"/>
    </row>
    <row r="13" spans="2:14" ht="15" customHeight="1">
      <c r="B13" s="25"/>
      <c r="C13" s="25"/>
      <c r="D13" s="25"/>
      <c r="E13" s="25"/>
      <c r="F13" s="25"/>
      <c r="G13" s="31"/>
      <c r="J13" s="9"/>
      <c r="K13" s="7"/>
      <c r="L13" s="7"/>
      <c r="M13" s="7"/>
      <c r="N13" s="13"/>
    </row>
    <row r="14" spans="2:14" ht="30" customHeight="1">
      <c r="B14" s="90" t="s">
        <v>24</v>
      </c>
      <c r="C14" s="90"/>
      <c r="D14" s="90"/>
      <c r="E14" s="90"/>
      <c r="F14" s="90"/>
      <c r="G14" s="29" t="s">
        <v>21</v>
      </c>
      <c r="J14" s="9"/>
      <c r="K14" s="7"/>
      <c r="L14" s="7"/>
      <c r="M14" s="7"/>
      <c r="N14" s="13"/>
    </row>
    <row r="15" spans="2:14" ht="30" customHeight="1">
      <c r="B15" s="75" t="s">
        <v>86</v>
      </c>
      <c r="C15" s="11" t="s">
        <v>3</v>
      </c>
      <c r="D15" s="30" t="s">
        <v>17</v>
      </c>
      <c r="E15" s="11" t="s">
        <v>18</v>
      </c>
      <c r="F15" s="95" t="s">
        <v>19</v>
      </c>
      <c r="G15" s="95"/>
      <c r="J15" s="9"/>
      <c r="K15" s="7"/>
      <c r="L15" s="7"/>
      <c r="M15" s="7"/>
      <c r="N15" s="13"/>
    </row>
    <row r="16" spans="2:14" ht="30" customHeight="1">
      <c r="B16" s="3"/>
      <c r="C16" s="32"/>
      <c r="D16" s="32"/>
      <c r="E16" s="33">
        <f>C16-D16</f>
      </c>
      <c r="F16" s="96"/>
      <c r="G16" s="96"/>
      <c r="J16" s="15"/>
      <c r="K16" s="14"/>
      <c r="L16" s="14"/>
      <c r="M16" s="14"/>
      <c r="N16" s="16"/>
    </row>
    <row r="17" spans="2:22" ht="30" customHeight="1">
      <c r="B17" s="3"/>
      <c r="C17" s="32"/>
      <c r="D17" s="32"/>
      <c r="E17" s="33">
        <f>C17-D17</f>
      </c>
      <c r="F17" s="96"/>
      <c r="G17" s="96"/>
      <c r="J17" s="15"/>
      <c r="K17" s="14"/>
      <c r="L17" s="17"/>
      <c r="T17" s="18"/>
      <c r="U17" s="18"/>
      <c r="V17" s="18"/>
    </row>
    <row r="18" spans="2:22" ht="30" customHeight="1">
      <c r="B18" s="3"/>
      <c r="C18" s="32"/>
      <c r="D18" s="32"/>
      <c r="E18" s="33">
        <f t="shared" ref="E18" si="0">C18-D18</f>
        <v>0</v>
      </c>
      <c r="F18" s="96"/>
      <c r="G18" s="96"/>
      <c r="J18" s="15"/>
      <c r="K18" s="14"/>
      <c r="L18" s="17"/>
      <c r="M18" s="14"/>
      <c r="N18" s="16"/>
      <c r="T18" s="18"/>
      <c r="U18" s="18"/>
      <c r="V18" s="18"/>
    </row>
    <row r="19" spans="2:22" ht="15" customHeight="1">
      <c r="B19" s="25"/>
      <c r="C19" s="25"/>
      <c r="D19" s="25"/>
      <c r="E19" s="25"/>
      <c r="F19" s="25"/>
      <c r="G19" s="31"/>
      <c r="J19" s="9"/>
      <c r="K19" s="7"/>
      <c r="L19" s="7"/>
      <c r="M19" s="7"/>
      <c r="N19" s="13"/>
    </row>
    <row r="20" spans="2:22" ht="30" customHeight="1">
      <c r="B20" s="90" t="s">
        <v>78</v>
      </c>
      <c r="C20" s="90"/>
      <c r="D20" s="90"/>
      <c r="E20" s="90"/>
      <c r="F20" s="90"/>
      <c r="G20" s="29" t="s">
        <v>22</v>
      </c>
      <c r="J20" s="15"/>
      <c r="K20" s="14"/>
      <c r="L20" s="17"/>
      <c r="M20" s="14"/>
      <c r="N20" s="16"/>
      <c r="T20" s="18"/>
      <c r="U20" s="18"/>
      <c r="V20" s="18"/>
    </row>
    <row r="21" spans="2:22" ht="30" customHeight="1">
      <c r="B21" s="11" t="s">
        <v>54</v>
      </c>
      <c r="C21" s="11" t="s">
        <v>15</v>
      </c>
      <c r="D21" s="73" t="s">
        <v>55</v>
      </c>
      <c r="E21" s="91" t="s">
        <v>56</v>
      </c>
      <c r="F21" s="91"/>
      <c r="G21" s="91"/>
      <c r="J21" s="19"/>
      <c r="K21" s="14"/>
      <c r="L21" s="14"/>
      <c r="T21" s="18"/>
      <c r="U21" s="20"/>
      <c r="V21" s="20"/>
    </row>
    <row r="22" spans="2:22" ht="30" customHeight="1">
      <c r="B22" s="34"/>
      <c r="C22" s="11"/>
      <c r="D22" s="74"/>
      <c r="E22" s="91"/>
      <c r="F22" s="91"/>
      <c r="G22" s="91"/>
      <c r="J22" s="19"/>
      <c r="K22" s="14"/>
      <c r="L22" s="14"/>
      <c r="T22" s="18"/>
      <c r="U22" s="20"/>
      <c r="V22" s="20"/>
    </row>
    <row r="23" spans="2:22" ht="30" customHeight="1">
      <c r="B23" s="34"/>
      <c r="C23" s="11"/>
      <c r="D23" s="74"/>
      <c r="E23" s="91"/>
      <c r="F23" s="91"/>
      <c r="G23" s="91"/>
      <c r="J23" s="19"/>
      <c r="K23" s="14"/>
      <c r="L23" s="14"/>
      <c r="T23" s="18"/>
      <c r="U23" s="20"/>
      <c r="V23" s="20"/>
    </row>
    <row r="24" spans="2:22" ht="30" customHeight="1">
      <c r="B24" s="34"/>
      <c r="C24" s="11"/>
      <c r="D24" s="74"/>
      <c r="E24" s="91"/>
      <c r="F24" s="91"/>
      <c r="G24" s="91"/>
      <c r="J24" s="19"/>
      <c r="K24" s="14"/>
      <c r="L24" s="14"/>
      <c r="T24" s="18"/>
      <c r="U24" s="20"/>
      <c r="V24" s="20"/>
    </row>
    <row r="25" spans="2:22" ht="30" customHeight="1">
      <c r="B25" s="34"/>
      <c r="C25" s="11"/>
      <c r="D25" s="74"/>
      <c r="E25" s="91"/>
      <c r="F25" s="91"/>
      <c r="G25" s="91"/>
      <c r="J25" s="19"/>
      <c r="K25" s="14"/>
      <c r="L25" s="14"/>
      <c r="M25" s="14"/>
      <c r="N25" s="21"/>
      <c r="O25" s="17"/>
      <c r="P25" s="17"/>
      <c r="Q25" s="17"/>
      <c r="R25" s="17"/>
      <c r="S25" s="17"/>
      <c r="T25" s="18"/>
      <c r="U25" s="20"/>
      <c r="V25" s="20"/>
    </row>
    <row r="26" spans="2:22" ht="15" customHeight="1">
      <c r="B26" s="25"/>
      <c r="C26" s="25"/>
      <c r="D26" s="25"/>
      <c r="E26" s="25"/>
      <c r="F26" s="25"/>
      <c r="G26" s="31"/>
      <c r="J26" s="9"/>
      <c r="K26" s="7"/>
      <c r="L26" s="7"/>
      <c r="M26" s="7"/>
      <c r="N26" s="13"/>
    </row>
    <row r="27" spans="2:22" ht="30" customHeight="1">
      <c r="B27" s="90" t="s">
        <v>25</v>
      </c>
      <c r="C27" s="90"/>
      <c r="D27" s="90"/>
      <c r="E27" s="90"/>
      <c r="F27" s="90"/>
      <c r="G27" s="90"/>
      <c r="J27" s="15"/>
      <c r="K27" s="14"/>
      <c r="L27" s="17"/>
      <c r="M27" s="14"/>
      <c r="N27" s="16"/>
      <c r="T27" s="18"/>
      <c r="U27" s="18"/>
      <c r="V27" s="18"/>
    </row>
    <row r="28" spans="2:22" ht="69.95" customHeight="1">
      <c r="B28" s="91"/>
      <c r="C28" s="91"/>
      <c r="D28" s="91"/>
      <c r="E28" s="91"/>
      <c r="F28" s="91"/>
      <c r="G28" s="91"/>
      <c r="I28" s="14"/>
      <c r="J28" s="14"/>
      <c r="K28" s="14"/>
      <c r="S28" s="18"/>
      <c r="T28" s="20"/>
      <c r="U28" s="20"/>
    </row>
    <row r="29" spans="2:22">
      <c r="T29" s="18"/>
      <c r="U29" s="18"/>
      <c r="V29" s="18"/>
    </row>
    <row r="30" spans="2:22">
      <c r="S30" s="18"/>
      <c r="T30" s="18"/>
      <c r="U30" s="18"/>
    </row>
    <row r="31" spans="2:22">
      <c r="S31" s="18"/>
      <c r="T31" s="18"/>
      <c r="U31" s="18"/>
    </row>
    <row r="32" spans="2:22">
      <c r="S32" s="18"/>
      <c r="T32" s="18"/>
      <c r="U32" s="18"/>
    </row>
    <row r="33" spans="15:21">
      <c r="S33" s="18"/>
      <c r="T33" s="18"/>
      <c r="U33" s="18"/>
    </row>
    <row r="34" spans="15:21">
      <c r="S34" s="18"/>
      <c r="T34" s="18"/>
      <c r="U34" s="18"/>
    </row>
    <row r="35" spans="15:21">
      <c r="S35" s="18"/>
      <c r="T35" s="18"/>
      <c r="U35" s="18"/>
    </row>
    <row r="36" spans="15:21">
      <c r="O36" s="18"/>
      <c r="P36" s="18"/>
      <c r="Q36" s="18"/>
    </row>
    <row r="37" spans="15:21">
      <c r="O37" s="18"/>
      <c r="P37" s="18"/>
      <c r="Q37" s="18"/>
    </row>
    <row r="38" spans="15:21">
      <c r="S38" s="18"/>
      <c r="T38" s="18"/>
      <c r="U38" s="18"/>
    </row>
    <row r="39" spans="15:21">
      <c r="S39" s="18"/>
      <c r="T39" s="18"/>
      <c r="U39" s="18"/>
    </row>
    <row r="40" spans="15:21">
      <c r="O40" s="18"/>
      <c r="P40" s="18"/>
      <c r="Q40" s="18"/>
    </row>
    <row r="41" spans="15:21">
      <c r="O41" s="18"/>
      <c r="P41" s="18"/>
      <c r="Q41" s="18"/>
    </row>
    <row r="42" spans="15:21">
      <c r="O42" s="18"/>
      <c r="P42" s="18"/>
      <c r="Q42" s="18"/>
    </row>
    <row r="43" spans="15:21">
      <c r="O43" s="18"/>
      <c r="P43" s="18"/>
      <c r="Q43" s="18"/>
    </row>
    <row r="44" spans="15:21">
      <c r="O44" s="18"/>
      <c r="P44" s="18"/>
      <c r="Q44" s="18"/>
    </row>
    <row r="45" spans="15:21">
      <c r="S45" s="18"/>
      <c r="T45" s="18"/>
      <c r="U45" s="18"/>
    </row>
    <row r="46" spans="15:21">
      <c r="S46" s="18"/>
      <c r="T46" s="18"/>
      <c r="U46" s="18"/>
    </row>
    <row r="47" spans="15:21">
      <c r="S47" s="18"/>
      <c r="T47" s="18"/>
      <c r="U47" s="18"/>
    </row>
    <row r="48" spans="15:21">
      <c r="S48" s="18"/>
      <c r="T48" s="18"/>
      <c r="U48" s="18"/>
    </row>
    <row r="49" spans="10:21">
      <c r="S49" s="18"/>
      <c r="T49" s="18"/>
      <c r="U49" s="18"/>
    </row>
    <row r="50" spans="10:21">
      <c r="J50" s="18"/>
    </row>
    <row r="51" spans="10:21">
      <c r="J51" s="18"/>
    </row>
    <row r="52" spans="10:21">
      <c r="J52" s="18"/>
    </row>
    <row r="53" spans="10:21">
      <c r="J53" s="18"/>
    </row>
    <row r="54" spans="10:21">
      <c r="J54" s="18"/>
    </row>
    <row r="55" spans="10:21">
      <c r="J55" s="18"/>
    </row>
    <row r="56" spans="10:21">
      <c r="J56" s="18"/>
    </row>
    <row r="57" spans="10:21">
      <c r="J57" s="18"/>
    </row>
    <row r="58" spans="10:21">
      <c r="J58" s="18"/>
    </row>
    <row r="59" spans="10:21">
      <c r="J59" s="18"/>
    </row>
    <row r="60" spans="10:21">
      <c r="J60" s="18"/>
    </row>
    <row r="61" spans="10:21">
      <c r="J61" s="18"/>
    </row>
    <row r="62" spans="10:21">
      <c r="S62" s="18"/>
      <c r="T62" s="18"/>
      <c r="U62" s="18"/>
    </row>
    <row r="63" spans="10:21">
      <c r="J63" s="18"/>
    </row>
    <row r="64" spans="10:21">
      <c r="J64" s="18"/>
    </row>
    <row r="65" spans="11:11">
      <c r="K65" s="18"/>
    </row>
    <row r="66" spans="11:11">
      <c r="K66" s="18"/>
    </row>
    <row r="67" spans="11:11">
      <c r="K67" s="18"/>
    </row>
    <row r="68" spans="11:11">
      <c r="K68" s="18"/>
    </row>
    <row r="69" spans="11:11">
      <c r="K69" s="18"/>
    </row>
  </sheetData>
  <mergeCells count="16">
    <mergeCell ref="B27:G27"/>
    <mergeCell ref="B28:G28"/>
    <mergeCell ref="B2:G2"/>
    <mergeCell ref="C5:G5"/>
    <mergeCell ref="C6:G6"/>
    <mergeCell ref="C8:G8"/>
    <mergeCell ref="C7:G7"/>
    <mergeCell ref="B9:G9"/>
    <mergeCell ref="B10:F10"/>
    <mergeCell ref="B14:F14"/>
    <mergeCell ref="B20:F20"/>
    <mergeCell ref="E21:G25"/>
    <mergeCell ref="F15:G15"/>
    <mergeCell ref="F16:G16"/>
    <mergeCell ref="F17:G17"/>
    <mergeCell ref="F18:G18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9DA7-A503-46AC-B80E-E7E5A23F92E8}">
  <sheetPr>
    <tabColor theme="4"/>
    <pageSetUpPr fitToPage="1"/>
  </sheetPr>
  <dimension ref="B1:U63"/>
  <sheetViews>
    <sheetView showGridLines="0" tabSelected="1" topLeftCell="A50" zoomScale="70" zoomScaleNormal="70" workbookViewId="0">
      <selection activeCell="E72" sqref="E72"/>
    </sheetView>
  </sheetViews>
  <sheetFormatPr defaultRowHeight="17.100000000000001" customHeight="1"/>
  <cols>
    <col min="1" max="1" width="5.42578125" customWidth="1"/>
    <col min="2" max="2" width="15.7109375" style="43" customWidth="1"/>
    <col min="3" max="3" width="10.7109375" style="37" customWidth="1"/>
    <col min="4" max="5" width="10.7109375" style="37" customWidth="1" collapsed="1"/>
    <col min="6" max="6" width="15" style="37" customWidth="1"/>
    <col min="7" max="7" width="18.28515625" style="37" bestFit="1" customWidth="1"/>
    <col min="8" max="8" width="86.85546875" style="37" bestFit="1" customWidth="1"/>
    <col min="9" max="9" width="27.7109375" style="37" bestFit="1" customWidth="1" collapsed="1"/>
    <col min="10" max="10" width="12" style="37" customWidth="1"/>
    <col min="11" max="11" width="15.140625" style="40" customWidth="1" collapsed="1"/>
    <col min="12" max="12" width="17.42578125" style="50" customWidth="1"/>
    <col min="13" max="13" width="5.7109375" customWidth="1"/>
    <col min="14" max="14" width="13.140625" style="41" bestFit="1" customWidth="1"/>
    <col min="15" max="19" width="11.7109375" style="41" customWidth="1"/>
    <col min="20" max="21" width="11.7109375" customWidth="1"/>
  </cols>
  <sheetData>
    <row r="1" spans="2:21" ht="17.100000000000001" customHeight="1">
      <c r="B1" s="42"/>
      <c r="C1" s="35"/>
      <c r="D1" s="36"/>
      <c r="J1" s="38"/>
      <c r="K1" s="39"/>
    </row>
    <row r="2" spans="2:21" ht="17.100000000000001" customHeight="1">
      <c r="B2" s="42"/>
      <c r="C2" s="35"/>
      <c r="D2" s="36"/>
      <c r="J2" s="38"/>
      <c r="K2" s="39"/>
    </row>
    <row r="3" spans="2:21" ht="17.100000000000001" customHeight="1">
      <c r="B3" s="42"/>
      <c r="C3" s="35"/>
      <c r="D3" s="36"/>
      <c r="J3" s="38"/>
      <c r="K3" s="39"/>
    </row>
    <row r="4" spans="2:21" ht="17.100000000000001" customHeight="1">
      <c r="B4" s="42"/>
      <c r="C4" s="35"/>
      <c r="D4" s="36"/>
      <c r="J4" s="105" t="s">
        <v>88</v>
      </c>
      <c r="K4" s="105"/>
      <c r="L4" s="108"/>
      <c r="N4" s="107" t="s">
        <v>89</v>
      </c>
      <c r="O4" s="107"/>
      <c r="P4" s="107"/>
      <c r="Q4" s="107"/>
      <c r="R4" s="107"/>
      <c r="S4" s="107"/>
    </row>
    <row r="5" spans="2:21" ht="17.100000000000001" customHeight="1">
      <c r="B5" s="42"/>
      <c r="C5" s="35"/>
      <c r="D5" s="36"/>
      <c r="J5" s="106"/>
      <c r="K5" s="106"/>
      <c r="L5" s="108"/>
      <c r="N5" s="76" t="s">
        <v>71</v>
      </c>
      <c r="O5" s="99" t="s">
        <v>66</v>
      </c>
      <c r="P5" s="100"/>
      <c r="Q5" s="100"/>
      <c r="R5" s="100"/>
      <c r="S5" s="101"/>
    </row>
    <row r="6" spans="2:21" ht="35.1" customHeight="1">
      <c r="B6" s="70" t="s">
        <v>8</v>
      </c>
      <c r="C6" s="44" t="s">
        <v>10</v>
      </c>
      <c r="D6" s="44" t="s">
        <v>9</v>
      </c>
      <c r="E6" s="45" t="s">
        <v>63</v>
      </c>
      <c r="F6" s="44" t="s">
        <v>5</v>
      </c>
      <c r="G6" s="44" t="s">
        <v>12</v>
      </c>
      <c r="H6" s="45" t="s">
        <v>79</v>
      </c>
      <c r="I6" s="44" t="s">
        <v>11</v>
      </c>
      <c r="J6" s="54" t="s">
        <v>84</v>
      </c>
      <c r="K6" s="71" t="s">
        <v>72</v>
      </c>
      <c r="L6" s="72" t="s">
        <v>30</v>
      </c>
      <c r="N6" s="76" t="s">
        <v>58</v>
      </c>
      <c r="O6" s="102" t="s">
        <v>80</v>
      </c>
      <c r="P6" s="103"/>
      <c r="Q6" s="103"/>
      <c r="R6" s="103"/>
      <c r="S6" s="104"/>
    </row>
    <row r="7" spans="2:21" ht="17.100000000000001" customHeight="1">
      <c r="B7" s="86"/>
      <c r="C7" s="83"/>
      <c r="D7" s="87"/>
      <c r="E7" s="83"/>
      <c r="F7" s="83"/>
      <c r="G7" s="83"/>
      <c r="H7" s="84"/>
      <c r="I7" s="83"/>
      <c r="J7" s="88"/>
      <c r="K7" s="85"/>
      <c r="L7" s="89"/>
      <c r="M7" s="47"/>
      <c r="N7" s="97"/>
      <c r="O7" s="77" t="s">
        <v>85</v>
      </c>
      <c r="P7" s="46"/>
      <c r="Q7" s="46"/>
      <c r="R7" s="46"/>
      <c r="S7" s="46"/>
    </row>
    <row r="8" spans="2:21" ht="17.100000000000001" customHeight="1">
      <c r="B8" s="86"/>
      <c r="C8" s="83"/>
      <c r="D8" s="87"/>
      <c r="E8" s="83"/>
      <c r="F8" s="83"/>
      <c r="G8" s="83"/>
      <c r="H8" s="84"/>
      <c r="I8" s="83"/>
      <c r="J8" s="80"/>
      <c r="K8" s="81"/>
      <c r="L8" s="82"/>
      <c r="M8" s="47"/>
      <c r="N8" s="98"/>
      <c r="O8" s="78" t="s">
        <v>75</v>
      </c>
      <c r="P8" s="48"/>
      <c r="Q8" s="48"/>
      <c r="R8" s="48"/>
      <c r="S8" s="48"/>
    </row>
    <row r="9" spans="2:21" ht="17.100000000000001" customHeight="1">
      <c r="B9" s="86"/>
      <c r="C9" s="83"/>
      <c r="D9" s="87"/>
      <c r="E9" s="83"/>
      <c r="F9" s="83"/>
      <c r="G9" s="83"/>
      <c r="H9" s="84"/>
      <c r="I9" s="83"/>
      <c r="J9" s="80"/>
      <c r="K9" s="81"/>
      <c r="L9" s="82"/>
      <c r="T9" s="65" t="s">
        <v>22</v>
      </c>
      <c r="U9" s="65"/>
    </row>
    <row r="10" spans="2:21" ht="17.100000000000001" customHeight="1">
      <c r="B10" s="79"/>
      <c r="C10" s="80"/>
      <c r="D10" s="87"/>
      <c r="E10" s="83"/>
      <c r="F10" s="83"/>
      <c r="G10" s="83"/>
      <c r="H10" s="84"/>
      <c r="I10" s="80"/>
      <c r="J10" s="88"/>
      <c r="K10" s="81"/>
      <c r="L10" s="82"/>
      <c r="N10" s="53" t="s">
        <v>70</v>
      </c>
      <c r="O10" s="53" t="s">
        <v>32</v>
      </c>
      <c r="P10" s="53" t="s">
        <v>33</v>
      </c>
      <c r="Q10" s="53" t="s">
        <v>34</v>
      </c>
      <c r="R10" s="53" t="s">
        <v>35</v>
      </c>
      <c r="S10" s="53" t="s">
        <v>37</v>
      </c>
      <c r="T10" s="53" t="s">
        <v>46</v>
      </c>
    </row>
    <row r="11" spans="2:21" ht="17.100000000000001" customHeight="1">
      <c r="B11" s="79"/>
      <c r="C11" s="80"/>
      <c r="D11" s="87"/>
      <c r="E11" s="83"/>
      <c r="F11" s="83"/>
      <c r="G11" s="83"/>
      <c r="H11" s="84"/>
      <c r="I11" s="80"/>
      <c r="J11" s="88"/>
      <c r="K11" s="81"/>
      <c r="L11" s="82"/>
      <c r="N11" s="69">
        <f>SUM(O11:T11)</f>
      </c>
      <c r="O11" s="69">
        <f>SUMIF(정산표[구분],O10,정산표[결제금액 (원)])</f>
      </c>
      <c r="P11" s="69">
        <f>SUMIF(정산표[구분],P10,정산표[결제금액 (원)])</f>
      </c>
      <c r="Q11" s="69">
        <f>SUMIF(정산표[구분],Q10,정산표[결제금액 (원)])</f>
      </c>
      <c r="R11" s="69">
        <f>SUMIF(정산표[구분],R10,정산표[결제금액 (원)])</f>
      </c>
      <c r="S11" s="69">
        <f>SUMIF(정산표[구분],S10,정산표[결제금액 (원)])</f>
      </c>
      <c r="T11" s="69">
        <f>SUMIF(정산표[구분],T10,정산표[결제금액 (원)])</f>
      </c>
    </row>
    <row r="12" spans="2:21" ht="17.100000000000001" customHeight="1">
      <c r="B12" s="79"/>
      <c r="C12" s="80"/>
      <c r="D12" s="87"/>
      <c r="E12" s="83"/>
      <c r="F12" s="83"/>
      <c r="G12" s="83"/>
      <c r="H12" s="84"/>
      <c r="I12" s="80"/>
      <c r="J12" s="88"/>
      <c r="K12" s="81"/>
      <c r="L12" s="82"/>
    </row>
    <row r="13" spans="2:21" ht="17.100000000000001" customHeight="1">
      <c r="B13" s="79"/>
      <c r="C13" s="80"/>
      <c r="D13" s="87"/>
      <c r="E13" s="83"/>
      <c r="F13" s="83"/>
      <c r="G13" s="83"/>
      <c r="H13" s="84"/>
      <c r="I13" s="80"/>
      <c r="J13" s="88"/>
      <c r="K13" s="81"/>
      <c r="L13" s="82"/>
    </row>
    <row r="14" spans="2:21" ht="17.100000000000001" customHeight="1">
      <c r="B14" s="79"/>
      <c r="C14" s="80"/>
      <c r="D14" s="87"/>
      <c r="E14" s="83"/>
      <c r="F14" s="83"/>
      <c r="G14" s="83"/>
      <c r="H14" s="84"/>
      <c r="I14" s="80"/>
      <c r="J14" s="88"/>
      <c r="K14" s="81"/>
      <c r="L14" s="82"/>
    </row>
    <row r="15" spans="2:21" ht="17.100000000000001" customHeight="1">
      <c r="B15" s="79"/>
      <c r="C15" s="80"/>
      <c r="D15" s="87"/>
      <c r="E15" s="83"/>
      <c r="F15" s="83"/>
      <c r="G15" s="83"/>
      <c r="H15" s="84"/>
      <c r="I15" s="80"/>
      <c r="J15" s="88"/>
      <c r="K15" s="81"/>
      <c r="L15" s="82"/>
    </row>
    <row r="16" spans="2:21" ht="17.100000000000001" customHeight="1">
      <c r="B16" s="79"/>
      <c r="C16" s="80"/>
      <c r="D16" s="87"/>
      <c r="E16" s="83"/>
      <c r="F16" s="83"/>
      <c r="G16" s="83"/>
      <c r="H16" s="84"/>
      <c r="I16" s="80"/>
      <c r="J16" s="88"/>
      <c r="K16" s="81"/>
      <c r="L16" s="82"/>
    </row>
    <row r="17" spans="2:12" ht="31.5" customHeight="1">
      <c r="B17" s="79"/>
      <c r="C17" s="80"/>
      <c r="D17" s="87"/>
      <c r="E17" s="83"/>
      <c r="F17" s="83"/>
      <c r="G17" s="83"/>
      <c r="H17" s="84"/>
      <c r="I17" s="80"/>
      <c r="J17" s="88"/>
      <c r="K17" s="81"/>
      <c r="L17" s="82"/>
    </row>
    <row r="18" spans="2:12" ht="13.5">
      <c r="B18" s="79"/>
      <c r="C18" s="80"/>
      <c r="D18" s="87"/>
      <c r="E18" s="83"/>
      <c r="F18" s="83"/>
      <c r="G18" s="83"/>
      <c r="H18" s="84"/>
      <c r="I18" s="80"/>
      <c r="J18" s="88"/>
      <c r="K18" s="81"/>
      <c r="L18" s="82"/>
    </row>
    <row r="19" spans="2:12" ht="17.100000000000001" customHeight="1">
      <c r="B19" s="79"/>
      <c r="C19" s="80"/>
      <c r="D19" s="87"/>
      <c r="E19" s="83"/>
      <c r="F19" s="83"/>
      <c r="G19" s="83"/>
      <c r="H19" s="84"/>
      <c r="I19" s="80"/>
      <c r="J19" s="88"/>
      <c r="K19" s="81"/>
      <c r="L19" s="82"/>
    </row>
    <row r="20" spans="2:12" ht="17.100000000000001" customHeight="1">
      <c r="B20" s="79"/>
      <c r="C20" s="80"/>
      <c r="D20" s="87"/>
      <c r="E20" s="83"/>
      <c r="F20" s="83"/>
      <c r="G20" s="83"/>
      <c r="H20" s="84"/>
      <c r="I20" s="80"/>
      <c r="J20" s="88"/>
      <c r="K20" s="81"/>
      <c r="L20" s="82"/>
    </row>
    <row r="21" spans="2:12" ht="17.100000000000001" customHeight="1">
      <c r="B21" s="79"/>
      <c r="C21" s="80"/>
      <c r="D21" s="87"/>
      <c r="E21" s="83"/>
      <c r="F21" s="83"/>
      <c r="G21" s="83"/>
      <c r="H21" s="84"/>
      <c r="I21" s="80"/>
      <c r="J21" s="88"/>
      <c r="K21" s="81"/>
      <c r="L21" s="82"/>
    </row>
    <row r="22" spans="2:12" ht="17.100000000000001" customHeight="1">
      <c r="B22" s="79"/>
      <c r="C22" s="80"/>
      <c r="D22" s="87"/>
      <c r="E22" s="83"/>
      <c r="F22" s="83"/>
      <c r="G22" s="83"/>
      <c r="H22" s="84"/>
      <c r="I22" s="80"/>
      <c r="J22" s="88"/>
      <c r="K22" s="81"/>
      <c r="L22" s="82"/>
    </row>
    <row r="23" spans="2:12" ht="17.100000000000001" customHeight="1">
      <c r="B23" s="79"/>
      <c r="C23" s="80"/>
      <c r="D23" s="87"/>
      <c r="E23" s="83"/>
      <c r="F23" s="83"/>
      <c r="G23" s="83"/>
      <c r="H23" s="84"/>
      <c r="I23" s="80"/>
      <c r="J23" s="88"/>
      <c r="K23" s="81"/>
      <c r="L23" s="82"/>
    </row>
    <row r="24" spans="2:12" ht="17.100000000000001" customHeight="1">
      <c r="B24" s="79"/>
      <c r="C24" s="80"/>
      <c r="D24" s="87"/>
      <c r="E24" s="83"/>
      <c r="F24" s="83"/>
      <c r="G24" s="83"/>
      <c r="H24" s="84"/>
      <c r="I24" s="80"/>
      <c r="J24" s="88"/>
      <c r="K24" s="81"/>
      <c r="L24" s="82">
        <f>정산표[[#This Row],[현지금액
(해당시)]]*$P$8</f>
        <v>867.87470000000008</v>
      </c>
    </row>
    <row r="25" spans="2:12" ht="17.100000000000001" customHeight="1">
      <c r="B25" s="79"/>
      <c r="C25" s="80"/>
      <c r="D25" s="87"/>
      <c r="E25" s="83"/>
      <c r="F25" s="83"/>
      <c r="G25" s="83"/>
      <c r="H25" s="84"/>
      <c r="I25" s="80"/>
      <c r="J25" s="88"/>
      <c r="K25" s="81"/>
      <c r="L25" s="82">
        <f>정산표[[#This Row],[현지금액
(해당시)]]*$P$8</f>
        <v>85751.819999999992</v>
      </c>
    </row>
    <row r="26" spans="2:12" ht="17.100000000000001" customHeight="1">
      <c r="B26" s="79"/>
      <c r="C26" s="80"/>
      <c r="D26" s="87"/>
      <c r="E26" s="83"/>
      <c r="F26" s="83"/>
      <c r="G26" s="83"/>
      <c r="H26" s="84"/>
      <c r="I26" s="80"/>
      <c r="J26" s="88"/>
      <c r="K26" s="81"/>
      <c r="L26" s="82">
        <f>정산표[[#This Row],[현지금액
(해당시)]]*$P$8</f>
        <v>15534.75</v>
      </c>
    </row>
    <row r="27" spans="2:12" ht="17.100000000000001" customHeight="1">
      <c r="B27" s="79"/>
      <c r="C27" s="80"/>
      <c r="D27" s="87"/>
      <c r="E27" s="83"/>
      <c r="F27" s="83"/>
      <c r="G27" s="83"/>
      <c r="H27" s="84"/>
      <c r="I27" s="80"/>
      <c r="J27" s="88"/>
      <c r="K27" s="81"/>
      <c r="L27" s="82">
        <f>정산표[[#This Row],[현지금액
(해당시)]]*$P$8</f>
        <v>8535.8273000000008</v>
      </c>
    </row>
    <row r="28" spans="2:12" ht="17.100000000000001" customHeight="1">
      <c r="B28" s="79"/>
      <c r="C28" s="80"/>
      <c r="D28" s="87"/>
      <c r="E28" s="83"/>
      <c r="F28" s="83"/>
      <c r="G28" s="83"/>
      <c r="H28" s="84"/>
      <c r="I28" s="80"/>
      <c r="J28" s="88"/>
      <c r="K28" s="81"/>
      <c r="L28" s="82">
        <f>정산표[[#This Row],[현지금액
(해당시)]]*$P$8</f>
        <v>9289.7805000000008</v>
      </c>
    </row>
    <row r="29" spans="2:12" ht="17.100000000000001" customHeight="1">
      <c r="B29" s="79"/>
      <c r="C29" s="80"/>
      <c r="D29" s="87"/>
      <c r="E29" s="83"/>
      <c r="F29" s="83"/>
      <c r="G29" s="83"/>
      <c r="H29" s="84"/>
      <c r="I29" s="80"/>
      <c r="J29" s="88"/>
      <c r="K29" s="81"/>
      <c r="L29" s="82">
        <f>정산표[[#This Row],[현지금액
(해당시)]]*$P$8</f>
        <v>7933.0789999999988</v>
      </c>
    </row>
    <row r="30" spans="2:12" ht="17.100000000000001" customHeight="1">
      <c r="B30" s="79"/>
      <c r="C30" s="80"/>
      <c r="D30" s="87"/>
      <c r="E30" s="83"/>
      <c r="F30" s="83"/>
      <c r="G30" s="83"/>
      <c r="H30" s="84"/>
      <c r="I30" s="80"/>
      <c r="J30" s="88"/>
      <c r="K30" s="81"/>
      <c r="L30" s="82">
        <f>정산표[[#This Row],[현지금액
(해당시)]]*$P$8</f>
        <v>8604.1801999999989</v>
      </c>
    </row>
    <row r="31" spans="2:12" ht="17.100000000000001" customHeight="1">
      <c r="B31" s="79"/>
      <c r="C31" s="80"/>
      <c r="D31" s="87"/>
      <c r="E31" s="83"/>
      <c r="F31" s="83"/>
      <c r="G31" s="83"/>
      <c r="H31" s="84"/>
      <c r="I31" s="80"/>
      <c r="J31" s="88"/>
      <c r="K31" s="81"/>
      <c r="L31" s="82">
        <f>정산표[[#This Row],[현지금액
(해당시)]]*$P$8</f>
        <v>108165.3573</v>
      </c>
    </row>
    <row r="32" spans="2:12" ht="17.100000000000001" customHeight="1">
      <c r="B32" s="79"/>
      <c r="C32" s="80"/>
      <c r="D32" s="87"/>
      <c r="E32" s="83"/>
      <c r="F32" s="83"/>
      <c r="G32" s="83"/>
      <c r="H32" s="84"/>
      <c r="I32" s="80"/>
      <c r="J32" s="88"/>
      <c r="K32" s="81"/>
      <c r="L32" s="82">
        <f>정산표[[#This Row],[현지금액
(해당시)]]*$P$8</f>
        <v>38215.485000000001</v>
      </c>
    </row>
    <row r="33" spans="2:12" ht="17.100000000000001" customHeight="1">
      <c r="B33" s="79"/>
      <c r="C33" s="80"/>
      <c r="D33" s="87"/>
      <c r="E33" s="83"/>
      <c r="F33" s="83"/>
      <c r="G33" s="83"/>
      <c r="H33" s="84"/>
      <c r="I33" s="80"/>
      <c r="J33" s="88"/>
      <c r="K33" s="81"/>
      <c r="L33" s="82">
        <f>정산표[[#This Row],[현지금액
(해당시)]]*$P$8</f>
        <v>37283.4</v>
      </c>
    </row>
    <row r="34" spans="2:12" ht="17.100000000000001" customHeight="1">
      <c r="B34" s="79"/>
      <c r="C34" s="80"/>
      <c r="D34" s="87"/>
      <c r="E34" s="83"/>
      <c r="F34" s="83"/>
      <c r="G34" s="83"/>
      <c r="H34" s="84"/>
      <c r="I34" s="80"/>
      <c r="J34" s="88"/>
      <c r="K34" s="81"/>
      <c r="L34" s="82">
        <f>정산표[[#This Row],[현지금액
(해당시)]]*$P$8</f>
        <v>93979.0236</v>
      </c>
    </row>
    <row r="35" spans="2:12" ht="17.100000000000001" customHeight="1">
      <c r="B35" s="79"/>
      <c r="C35" s="80"/>
      <c r="D35" s="87"/>
      <c r="E35" s="83"/>
      <c r="F35" s="83"/>
      <c r="G35" s="83"/>
      <c r="H35" s="84"/>
      <c r="I35" s="80"/>
      <c r="J35" s="88"/>
      <c r="K35" s="81"/>
      <c r="L35" s="82">
        <f>정산표[[#This Row],[현지금액
(해당시)]]*$P$8</f>
        <v>145073.85199999998</v>
      </c>
    </row>
    <row r="36" spans="2:12" ht="17.100000000000001" customHeight="1">
      <c r="B36" s="79"/>
      <c r="C36" s="80"/>
      <c r="D36" s="87"/>
      <c r="E36" s="83"/>
      <c r="F36" s="83"/>
      <c r="G36" s="83"/>
      <c r="H36" s="84"/>
      <c r="I36" s="80"/>
      <c r="J36" s="88"/>
      <c r="K36" s="81"/>
      <c r="L36" s="82">
        <f>정산표[[#This Row],[현지금액
(해당시)]]*$P$8</f>
        <v>157661.1421</v>
      </c>
    </row>
    <row r="37" spans="2:12" ht="17.100000000000001" customHeight="1">
      <c r="B37" s="79"/>
      <c r="C37" s="80"/>
      <c r="D37" s="87"/>
      <c r="E37" s="83"/>
      <c r="F37" s="83"/>
      <c r="G37" s="83"/>
      <c r="H37" s="84"/>
      <c r="I37" s="80"/>
      <c r="J37" s="88"/>
      <c r="K37" s="81"/>
      <c r="L37" s="82">
        <f>정산표[[#This Row],[현지금액
(해당시)]]*$P$8</f>
        <v>25891.25</v>
      </c>
    </row>
    <row r="38" spans="2:12" ht="17.100000000000001" customHeight="1">
      <c r="B38" s="79"/>
      <c r="C38" s="80"/>
      <c r="D38" s="87"/>
      <c r="E38" s="83"/>
      <c r="F38" s="83"/>
      <c r="G38" s="83"/>
      <c r="H38" s="84"/>
      <c r="I38" s="80"/>
      <c r="J38" s="88"/>
      <c r="K38" s="81"/>
      <c r="L38" s="82">
        <f>정산표[[#This Row],[현지금액
(해당시)]]*$P$8</f>
        <v>57602.853000000003</v>
      </c>
    </row>
    <row r="39" spans="2:12" ht="17.100000000000001" customHeight="1">
      <c r="B39" s="79"/>
      <c r="C39" s="80"/>
      <c r="D39" s="87"/>
      <c r="E39" s="83"/>
      <c r="F39" s="83"/>
      <c r="G39" s="83"/>
      <c r="H39" s="84"/>
      <c r="I39" s="80"/>
      <c r="J39" s="88"/>
      <c r="K39" s="81"/>
      <c r="L39" s="82">
        <f>정산표[[#This Row],[현지금액
(해당시)]]*$P$8</f>
        <v>22970.717000000001</v>
      </c>
    </row>
    <row r="40" spans="2:12" ht="17.100000000000001" customHeight="1">
      <c r="B40" s="79"/>
      <c r="C40" s="80"/>
      <c r="D40" s="87"/>
      <c r="E40" s="83"/>
      <c r="F40" s="83"/>
      <c r="G40" s="83"/>
      <c r="H40" s="84"/>
      <c r="I40" s="80"/>
      <c r="J40" s="88"/>
      <c r="K40" s="81"/>
      <c r="L40" s="82">
        <f>정산표[[#This Row],[현지금액
(해당시)]]*$P$8</f>
        <v>128834.86</v>
      </c>
    </row>
    <row r="41" spans="2:12" ht="17.100000000000001" customHeight="1">
      <c r="B41" s="79"/>
      <c r="C41" s="80"/>
      <c r="D41" s="87"/>
      <c r="E41" s="83"/>
      <c r="F41" s="83"/>
      <c r="G41" s="83"/>
      <c r="H41" s="84"/>
      <c r="I41" s="80"/>
      <c r="J41" s="88"/>
      <c r="K41" s="81"/>
      <c r="L41" s="82">
        <f>정산표[[#This Row],[현지금액
(해당시)]]*$P$8</f>
        <v>6949.2114999999994</v>
      </c>
    </row>
    <row r="42" spans="2:12" ht="17.100000000000001" customHeight="1">
      <c r="B42" s="79"/>
      <c r="C42" s="80"/>
      <c r="D42" s="87"/>
      <c r="E42" s="83"/>
      <c r="F42" s="83"/>
      <c r="G42" s="83"/>
      <c r="H42" s="84"/>
      <c r="I42" s="80"/>
      <c r="J42" s="88"/>
      <c r="K42" s="81"/>
      <c r="L42" s="82">
        <f>정산표[[#This Row],[현지금액
(해당시)]]*$P$8</f>
        <v>120135.4</v>
      </c>
    </row>
    <row r="43" spans="2:12" ht="17.100000000000001" customHeight="1">
      <c r="B43" s="79"/>
      <c r="C43" s="80"/>
      <c r="D43" s="87"/>
      <c r="E43" s="83"/>
      <c r="F43" s="83"/>
      <c r="G43" s="83"/>
      <c r="H43" s="84"/>
      <c r="I43" s="80"/>
      <c r="J43" s="88"/>
      <c r="K43" s="81"/>
      <c r="L43" s="82">
        <f>정산표[[#This Row],[현지금액
(해당시)]]*$P$8</f>
        <v>27883.8406</v>
      </c>
    </row>
    <row r="44" spans="2:12" ht="17.100000000000001" customHeight="1">
      <c r="B44" s="79"/>
      <c r="C44" s="80"/>
      <c r="D44" s="87"/>
      <c r="E44" s="83"/>
      <c r="F44" s="83"/>
      <c r="G44" s="83"/>
      <c r="H44" s="84"/>
      <c r="I44" s="80"/>
      <c r="J44" s="88"/>
      <c r="K44" s="81"/>
      <c r="L44" s="82">
        <f>정산표[[#This Row],[현지금액
(해당시)]]*$P$8</f>
        <v>120112.61569999999</v>
      </c>
    </row>
    <row r="45" spans="2:12" ht="17.100000000000001" customHeight="1">
      <c r="B45" s="79"/>
      <c r="C45" s="80"/>
      <c r="D45" s="87"/>
      <c r="E45" s="83"/>
      <c r="F45" s="83"/>
      <c r="G45" s="83"/>
      <c r="H45" s="84"/>
      <c r="I45" s="80"/>
      <c r="J45" s="88"/>
      <c r="K45" s="81"/>
      <c r="L45" s="82">
        <f>정산표[[#This Row],[현지금액
(해당시)]]*$P$8</f>
        <v>13042.9761</v>
      </c>
    </row>
    <row r="46" spans="2:12" ht="17.100000000000001" customHeight="1">
      <c r="B46" s="79"/>
      <c r="C46" s="80"/>
      <c r="D46" s="87"/>
      <c r="E46" s="83"/>
      <c r="F46" s="83"/>
      <c r="G46" s="83"/>
      <c r="H46" s="84"/>
      <c r="I46" s="80"/>
      <c r="J46" s="88"/>
      <c r="K46" s="81"/>
      <c r="L46" s="82">
        <f>정산표[[#This Row],[현지금액
(해당시)]]*$P$8</f>
        <v>42627.353999999999</v>
      </c>
    </row>
    <row r="47" spans="2:12" ht="17.100000000000001" customHeight="1">
      <c r="B47" s="79"/>
      <c r="C47" s="80"/>
      <c r="D47" s="87"/>
      <c r="E47" s="83"/>
      <c r="F47" s="83"/>
      <c r="G47" s="83"/>
      <c r="H47" s="84"/>
      <c r="I47" s="80"/>
      <c r="J47" s="88"/>
      <c r="K47" s="81"/>
      <c r="L47" s="82">
        <f>정산표[[#This Row],[현지금액
(해당시)]]*$P$8</f>
        <v>2381.9949999999999</v>
      </c>
    </row>
    <row r="48" spans="2:12" ht="17.100000000000001" customHeight="1">
      <c r="B48" s="79"/>
      <c r="C48" s="80"/>
      <c r="D48" s="87"/>
      <c r="E48" s="83"/>
      <c r="F48" s="83"/>
      <c r="G48" s="83"/>
      <c r="H48" s="84"/>
      <c r="I48" s="80"/>
      <c r="J48" s="88"/>
      <c r="K48" s="81"/>
      <c r="L48" s="82">
        <f>정산표[[#This Row],[현지금액
(해당시)]]*$P$8</f>
        <v>95901.19</v>
      </c>
    </row>
    <row r="49" spans="2:12" ht="17.100000000000001" customHeight="1">
      <c r="B49" s="79"/>
      <c r="C49" s="80"/>
      <c r="D49" s="87"/>
      <c r="E49" s="83"/>
      <c r="F49" s="83"/>
      <c r="G49" s="83"/>
      <c r="H49" s="84"/>
      <c r="I49" s="80"/>
      <c r="J49" s="88"/>
      <c r="K49" s="81"/>
      <c r="L49" s="82">
        <f>정산표[[#This Row],[현지금액
(해당시)]]*$P$8</f>
        <v>8471.6170000000002</v>
      </c>
    </row>
    <row r="50" spans="2:12" ht="17.100000000000001" customHeight="1">
      <c r="B50" s="79"/>
      <c r="C50" s="80"/>
      <c r="D50" s="87"/>
      <c r="E50" s="83"/>
      <c r="F50" s="83"/>
      <c r="G50" s="83"/>
      <c r="H50" s="84"/>
      <c r="I50" s="80"/>
      <c r="J50" s="88"/>
      <c r="K50" s="81"/>
      <c r="L50" s="82">
        <f>정산표[[#This Row],[현지금액
(해당시)]]*$P$8</f>
        <v>118619.20839999999</v>
      </c>
    </row>
    <row r="51" spans="2:12" ht="17.100000000000001" customHeight="1">
      <c r="B51" s="79"/>
      <c r="C51" s="80"/>
      <c r="D51" s="87"/>
      <c r="E51" s="83"/>
      <c r="F51" s="83"/>
      <c r="G51" s="83"/>
      <c r="H51" s="84"/>
      <c r="I51" s="80"/>
      <c r="J51" s="88"/>
      <c r="K51" s="81"/>
      <c r="L51" s="82">
        <f>정산표[[#This Row],[현지금액
(해당시)]]*$P$8</f>
        <v>6501.8107</v>
      </c>
    </row>
    <row r="52" spans="2:12" ht="17.100000000000001" customHeight="1">
      <c r="B52" s="79"/>
      <c r="C52" s="80"/>
      <c r="D52" s="87"/>
      <c r="E52" s="83"/>
      <c r="F52" s="83"/>
      <c r="G52" s="83"/>
      <c r="H52" s="84"/>
      <c r="I52" s="80"/>
      <c r="J52" s="88"/>
      <c r="K52" s="81"/>
      <c r="L52" s="82">
        <f>정산표[[#This Row],[현지금액
(해당시)]]*$P$8</f>
        <v>10542.916999999999</v>
      </c>
    </row>
    <row r="53" spans="2:12" ht="17.100000000000001" customHeight="1">
      <c r="B53" s="79"/>
      <c r="C53" s="80"/>
      <c r="D53" s="87"/>
      <c r="E53" s="83"/>
      <c r="F53" s="83"/>
      <c r="G53" s="83"/>
      <c r="H53" s="84"/>
      <c r="I53" s="80"/>
      <c r="J53" s="88"/>
      <c r="K53" s="81"/>
      <c r="L53" s="82">
        <f>정산표[[#This Row],[현지금액
(해당시)]]*$P$8</f>
        <v>24420.627</v>
      </c>
    </row>
    <row r="54" spans="2:12" ht="17.100000000000001" customHeight="1">
      <c r="B54" s="79"/>
      <c r="C54" s="80"/>
      <c r="D54" s="87"/>
      <c r="E54" s="83"/>
      <c r="F54" s="83"/>
      <c r="G54" s="83"/>
      <c r="H54" s="84"/>
      <c r="I54" s="80"/>
      <c r="J54" s="88"/>
      <c r="K54" s="81"/>
      <c r="L54" s="82">
        <f>정산표[[#This Row],[현지금액
(해당시)]]*$P$8</f>
        <v>111021.68</v>
      </c>
    </row>
    <row r="55" spans="2:12" ht="17.100000000000001" customHeight="1">
      <c r="B55" s="79"/>
      <c r="C55" s="80"/>
      <c r="D55" s="87"/>
      <c r="E55" s="83"/>
      <c r="F55" s="83"/>
      <c r="G55" s="83"/>
      <c r="H55" s="84"/>
      <c r="I55" s="80"/>
      <c r="J55" s="88"/>
      <c r="K55" s="81"/>
      <c r="L55" s="82">
        <f>정산표[[#This Row],[현지금액
(해당시)]]*$P$8</f>
        <v>10356.5</v>
      </c>
    </row>
    <row r="56" spans="2:12" ht="17.100000000000001" customHeight="1">
      <c r="B56" s="79"/>
      <c r="C56" s="80"/>
      <c r="D56" s="87"/>
      <c r="E56" s="83"/>
      <c r="F56" s="83"/>
      <c r="G56" s="83"/>
      <c r="H56" s="84"/>
      <c r="I56" s="80"/>
      <c r="J56" s="88"/>
      <c r="K56" s="81"/>
      <c r="L56" s="82"/>
    </row>
    <row r="57" spans="2:12" ht="17.100000000000001" customHeight="1">
      <c r="B57" s="79"/>
      <c r="C57" s="80"/>
      <c r="D57" s="87"/>
      <c r="E57" s="83"/>
      <c r="F57" s="83"/>
      <c r="G57" s="83"/>
      <c r="H57" s="84"/>
      <c r="I57" s="80"/>
      <c r="J57" s="88"/>
      <c r="K57" s="81"/>
      <c r="L57" s="82"/>
    </row>
    <row r="58" spans="2:12" ht="17.100000000000001" customHeight="1">
      <c r="B58" s="79"/>
      <c r="C58" s="80"/>
      <c r="D58" s="87"/>
      <c r="E58" s="83"/>
      <c r="F58" s="83"/>
      <c r="G58" s="83"/>
      <c r="H58" s="84"/>
      <c r="I58" s="80"/>
      <c r="J58" s="88"/>
      <c r="K58" s="81"/>
      <c r="L58" s="82"/>
    </row>
    <row r="59" spans="2:12" ht="17.100000000000001" customHeight="1">
      <c r="B59" s="79"/>
      <c r="C59" s="80"/>
      <c r="D59" s="87"/>
      <c r="E59" s="83"/>
      <c r="F59" s="83"/>
      <c r="G59" s="83"/>
      <c r="H59" s="84"/>
      <c r="I59" s="80"/>
      <c r="J59" s="88"/>
      <c r="K59" s="81"/>
      <c r="L59" s="82"/>
    </row>
    <row r="60" spans="2:12" ht="17.100000000000001" customHeight="1">
      <c r="B60" s="79"/>
      <c r="C60" s="80"/>
      <c r="D60" s="87"/>
      <c r="E60" s="83"/>
      <c r="F60" s="83"/>
      <c r="G60" s="83"/>
      <c r="H60" s="84"/>
      <c r="I60" s="80"/>
      <c r="J60" s="88"/>
      <c r="K60" s="81"/>
      <c r="L60" s="82"/>
    </row>
    <row r="61" spans="2:12" ht="17.100000000000001" customHeight="1">
      <c r="B61" s="79"/>
      <c r="C61" s="80"/>
      <c r="D61" s="87"/>
      <c r="E61" s="83"/>
      <c r="F61" s="83"/>
      <c r="G61" s="83"/>
      <c r="H61" s="84"/>
      <c r="I61" s="80"/>
      <c r="J61" s="88"/>
      <c r="K61" s="81"/>
      <c r="L61" s="82"/>
    </row>
    <row r="62" spans="2:12" ht="17.100000000000001" customHeight="1">
      <c r="B62" s="79"/>
      <c r="C62" s="80"/>
      <c r="D62" s="87"/>
      <c r="E62" s="83"/>
      <c r="F62" s="83"/>
      <c r="G62" s="83"/>
      <c r="H62" s="84"/>
      <c r="I62" s="80"/>
      <c r="J62" s="88"/>
      <c r="K62" s="81"/>
      <c r="L62" s="82"/>
    </row>
    <row r="63" spans="2:12" ht="17.100000000000001" customHeight="1">
      <c r="B63" s="79"/>
      <c r="C63" s="80"/>
      <c r="D63" s="87"/>
      <c r="E63" s="83"/>
      <c r="F63" s="83"/>
      <c r="G63" s="83"/>
      <c r="H63" s="84"/>
      <c r="I63" s="80"/>
      <c r="J63" s="88"/>
      <c r="K63" s="81"/>
      <c r="L63" s="82">
        <f>정산표[[#This Row],[현지금액
(해당시)]]*P8</f>
        <v>662816</v>
      </c>
    </row>
  </sheetData>
  <mergeCells count="6">
    <mergeCell ref="N7:N8"/>
    <mergeCell ref="O5:S5"/>
    <mergeCell ref="O6:S6"/>
    <mergeCell ref="J4:K5"/>
    <mergeCell ref="N4:S4"/>
    <mergeCell ref="L4:L5"/>
  </mergeCells>
  <phoneticPr fontId="5" type="noConversion"/>
  <conditionalFormatting sqref="L1:L4 L22:L62 L17:L19 L12:L15">
    <cfRule type="expression" dxfId="2" priority="3">
      <formula>"취소"</formula>
    </cfRule>
  </conditionalFormatting>
  <conditionalFormatting sqref="L6:L7">
    <cfRule type="expression" dxfId="1" priority="2">
      <formula>"취소"</formula>
    </cfRule>
  </conditionalFormatting>
  <dataValidations count="3">
    <dataValidation type="list" allowBlank="1" showInputMessage="1" showErrorMessage="1" sqref="F7:F63" xr:uid="{63D9C9DA-BC1D-4AEB-BAB4-00FA386FEE5D}">
      <formula1>구분</formula1>
    </dataValidation>
    <dataValidation type="list" allowBlank="1" showInputMessage="1" showErrorMessage="1" sqref="D7:D63" xr:uid="{CD746625-17CC-4AA7-B75A-1DB0F295C4B8}">
      <formula1>결제방법</formula1>
    </dataValidation>
    <dataValidation type="list" allowBlank="1" showInputMessage="1" showErrorMessage="1" sqref="G7:G63" xr:uid="{05159D22-09AB-487A-945E-5ACB708DA492}">
      <formula1>INDIRECT($F7)</formula1>
    </dataValidation>
  </dataValidations>
  <hyperlinks>
    <hyperlink ref="O5" r:id="rId1" xr:uid="{5F756BDA-3A2C-43C9-97E7-82D1805401A2}"/>
  </hyperlinks>
  <pageMargins left="0.25" right="0.25" top="0.75" bottom="0.75" header="0.3" footer="0.3"/>
  <pageSetup paperSize="9" scale="57" orientation="landscape"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4615-15D7-4A04-87FD-8F5A33EAF4D6}">
  <sheetPr>
    <pageSetUpPr fitToPage="1"/>
  </sheetPr>
  <dimension ref="B1:V30"/>
  <sheetViews>
    <sheetView showGridLines="0" workbookViewId="0">
      <pane ySplit="8" topLeftCell="A9" activePane="bottomLeft" state="frozen"/>
      <selection pane="bottomLeft" activeCell="F21" sqref="F21"/>
    </sheetView>
  </sheetViews>
  <sheetFormatPr defaultRowHeight="17.100000000000001" customHeight="1"/>
  <cols>
    <col min="1" max="1" width="5.42578125" customWidth="1"/>
    <col min="3" max="3" width="15.7109375" style="43" customWidth="1"/>
    <col min="4" max="4" width="10.7109375" style="37" customWidth="1"/>
    <col min="5" max="6" width="10.7109375" style="37" customWidth="1" collapsed="1"/>
    <col min="7" max="8" width="15" style="37" customWidth="1"/>
    <col min="9" max="9" width="23.5703125" style="37" customWidth="1"/>
    <col min="10" max="10" width="20.7109375" style="37" customWidth="1" collapsed="1"/>
    <col min="11" max="11" width="12" style="37" customWidth="1"/>
    <col min="12" max="12" width="15.140625" style="40" customWidth="1" collapsed="1"/>
    <col min="13" max="13" width="17.42578125" style="50" customWidth="1"/>
    <col min="14" max="14" width="5.7109375" style="50" customWidth="1"/>
    <col min="15" max="15" width="5.7109375" customWidth="1"/>
    <col min="16" max="21" width="11.7109375" style="41" customWidth="1"/>
    <col min="22" max="22" width="11.7109375" customWidth="1"/>
  </cols>
  <sheetData>
    <row r="1" spans="2:22" ht="17.100000000000001" customHeight="1">
      <c r="C1" s="42"/>
      <c r="D1" s="35"/>
      <c r="E1" s="36"/>
      <c r="K1" s="38"/>
      <c r="L1" s="39"/>
    </row>
    <row r="2" spans="2:22" ht="17.100000000000001" customHeight="1">
      <c r="C2" s="116" t="s">
        <v>76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P2" s="53" t="s">
        <v>71</v>
      </c>
      <c r="Q2" s="110" t="s">
        <v>66</v>
      </c>
      <c r="R2" s="111"/>
      <c r="S2" s="111"/>
      <c r="T2" s="111"/>
      <c r="U2" s="112"/>
    </row>
    <row r="3" spans="2:22" ht="17.100000000000001" customHeight="1"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P3" s="53" t="s">
        <v>58</v>
      </c>
      <c r="Q3" s="113" t="s">
        <v>80</v>
      </c>
      <c r="R3" s="114"/>
      <c r="S3" s="114"/>
      <c r="T3" s="114"/>
      <c r="U3" s="115"/>
    </row>
    <row r="4" spans="2:22" ht="17.100000000000001" customHeight="1"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O4" s="47" t="s">
        <v>59</v>
      </c>
      <c r="P4" s="97">
        <v>45842</v>
      </c>
      <c r="Q4" s="67" t="s">
        <v>74</v>
      </c>
      <c r="R4" s="46" t="s">
        <v>68</v>
      </c>
      <c r="S4" s="46"/>
      <c r="T4" s="46"/>
      <c r="U4" s="46"/>
    </row>
    <row r="5" spans="2:22" ht="17.100000000000001" customHeight="1">
      <c r="C5" s="42"/>
      <c r="D5" s="35"/>
      <c r="E5" s="36"/>
      <c r="K5" s="109" t="s">
        <v>73</v>
      </c>
      <c r="L5" s="109"/>
      <c r="O5" s="47" t="s">
        <v>59</v>
      </c>
      <c r="P5" s="98"/>
      <c r="Q5" s="68" t="s">
        <v>75</v>
      </c>
      <c r="R5" s="66">
        <v>1065.18</v>
      </c>
      <c r="S5" s="66"/>
      <c r="T5" s="66"/>
      <c r="U5" s="66"/>
    </row>
    <row r="6" spans="2:22" ht="35.1" customHeight="1">
      <c r="C6" s="64" t="s">
        <v>8</v>
      </c>
      <c r="D6" s="44" t="s">
        <v>10</v>
      </c>
      <c r="E6" s="44" t="s">
        <v>9</v>
      </c>
      <c r="F6" s="45" t="s">
        <v>63</v>
      </c>
      <c r="G6" s="44" t="s">
        <v>5</v>
      </c>
      <c r="H6" s="44" t="s">
        <v>12</v>
      </c>
      <c r="I6" s="45" t="s">
        <v>79</v>
      </c>
      <c r="J6" s="44" t="s">
        <v>11</v>
      </c>
      <c r="K6" s="54" t="s">
        <v>62</v>
      </c>
      <c r="L6" s="55" t="s">
        <v>72</v>
      </c>
      <c r="M6" s="51" t="s">
        <v>30</v>
      </c>
      <c r="N6" s="63"/>
      <c r="V6" s="65" t="s">
        <v>22</v>
      </c>
    </row>
    <row r="7" spans="2:22" ht="17.100000000000001" customHeight="1">
      <c r="B7" s="49" t="s">
        <v>59</v>
      </c>
      <c r="C7" s="60">
        <v>45843</v>
      </c>
      <c r="D7" s="56"/>
      <c r="E7" s="57" t="s">
        <v>60</v>
      </c>
      <c r="F7" s="56">
        <v>3338</v>
      </c>
      <c r="G7" s="56" t="s">
        <v>31</v>
      </c>
      <c r="H7" s="56" t="s">
        <v>47</v>
      </c>
      <c r="I7" s="56" t="s">
        <v>67</v>
      </c>
      <c r="J7" s="56" t="s">
        <v>69</v>
      </c>
      <c r="K7" s="58"/>
      <c r="L7" s="61">
        <v>13.18</v>
      </c>
      <c r="M7" s="59">
        <v>14641</v>
      </c>
      <c r="N7" s="63"/>
      <c r="P7" s="53" t="s">
        <v>70</v>
      </c>
      <c r="Q7" s="53" t="s">
        <v>32</v>
      </c>
      <c r="R7" s="53" t="s">
        <v>33</v>
      </c>
      <c r="S7" s="53" t="s">
        <v>34</v>
      </c>
      <c r="T7" s="53" t="s">
        <v>35</v>
      </c>
      <c r="U7" s="53" t="s">
        <v>37</v>
      </c>
      <c r="V7" s="53" t="s">
        <v>46</v>
      </c>
    </row>
    <row r="8" spans="2:22" ht="17.100000000000001" customHeight="1">
      <c r="B8" s="49" t="s">
        <v>59</v>
      </c>
      <c r="C8" s="60">
        <v>45844</v>
      </c>
      <c r="D8" s="56"/>
      <c r="E8" s="57" t="s">
        <v>61</v>
      </c>
      <c r="F8" s="56"/>
      <c r="G8" s="56" t="s">
        <v>36</v>
      </c>
      <c r="H8" s="56" t="s">
        <v>36</v>
      </c>
      <c r="I8" s="56" t="s">
        <v>64</v>
      </c>
      <c r="J8" s="56" t="s">
        <v>65</v>
      </c>
      <c r="K8" s="58" t="s">
        <v>68</v>
      </c>
      <c r="L8" s="62">
        <v>143.99</v>
      </c>
      <c r="M8" s="59">
        <f>정산표_6[[#This Row],[현지금액
(해당시)]]*R5</f>
        <v>153375.26820000002</v>
      </c>
      <c r="N8" s="63"/>
      <c r="P8" s="69">
        <f>SUM(Q8:V8)</f>
        <v>11796156.194699999</v>
      </c>
      <c r="Q8" s="69">
        <f>SUMIF(정산표[구분],Q7,정산표[결제금액 (원)])</f>
        <v>3928279.3673999999</v>
      </c>
      <c r="R8" s="69">
        <f>SUMIF(정산표[구분],R7,정산표[결제금액 (원)])</f>
        <v>5288156</v>
      </c>
      <c r="S8" s="69">
        <f>SUMIF(정산표[구분],S7,정산표[결제금액 (원)])</f>
        <v>1343726.8767999997</v>
      </c>
      <c r="T8" s="69">
        <f>SUMIF(정산표[구분],T7,정산표[결제금액 (원)])</f>
        <v>1059136</v>
      </c>
      <c r="U8" s="69">
        <f>SUMIF(정산표[구분],U7,정산표[결제금액 (원)])</f>
        <v>117090.58900000001</v>
      </c>
      <c r="V8" s="69">
        <f>SUMIF(정산표[구분],V7,정산표[결제금액 (원)])</f>
        <v>59767.361499999999</v>
      </c>
    </row>
    <row r="9" spans="2:22" ht="17.100000000000001" customHeight="1">
      <c r="C9" s="60"/>
      <c r="D9" s="56"/>
      <c r="E9" s="57"/>
      <c r="F9" s="56"/>
      <c r="G9" s="56"/>
      <c r="H9" s="56"/>
      <c r="I9" s="56"/>
      <c r="J9" s="56"/>
      <c r="K9" s="58"/>
      <c r="L9" s="62"/>
      <c r="M9" s="59"/>
      <c r="N9" s="63"/>
    </row>
    <row r="10" spans="2:22" ht="17.100000000000001" customHeight="1">
      <c r="C10" s="60"/>
      <c r="D10" s="56"/>
      <c r="E10" s="57"/>
      <c r="F10" s="56"/>
      <c r="G10" s="56"/>
      <c r="H10" s="56"/>
      <c r="I10" s="56"/>
      <c r="J10" s="56"/>
      <c r="K10" s="58"/>
      <c r="L10" s="62"/>
      <c r="M10" s="59"/>
      <c r="N10" s="63"/>
    </row>
    <row r="11" spans="2:22" ht="17.100000000000001" customHeight="1">
      <c r="N11" s="63"/>
    </row>
    <row r="12" spans="2:22" ht="17.100000000000001" customHeight="1">
      <c r="C12" s="42"/>
      <c r="D12" s="35"/>
      <c r="E12" s="36"/>
      <c r="K12" s="38"/>
      <c r="L12" s="39"/>
    </row>
    <row r="16" spans="2:22" ht="17.100000000000001" customHeight="1">
      <c r="C16" s="42"/>
      <c r="D16" s="35"/>
      <c r="E16" s="36"/>
      <c r="K16" s="38"/>
      <c r="L16" s="39"/>
    </row>
    <row r="17" spans="3:12" ht="17.100000000000001" customHeight="1">
      <c r="C17" s="42"/>
      <c r="D17" s="35"/>
      <c r="E17" s="36"/>
      <c r="K17" s="38"/>
      <c r="L17" s="39"/>
    </row>
    <row r="21" spans="3:12" ht="17.100000000000001" customHeight="1">
      <c r="C21" s="42"/>
      <c r="D21" s="35"/>
      <c r="E21" s="36"/>
      <c r="K21" s="38"/>
      <c r="L21" s="39"/>
    </row>
    <row r="25" spans="3:12" ht="17.100000000000001" customHeight="1">
      <c r="C25" s="42"/>
      <c r="D25" s="35"/>
      <c r="E25" s="36"/>
      <c r="K25" s="38"/>
      <c r="L25" s="39"/>
    </row>
    <row r="26" spans="3:12" ht="17.100000000000001" customHeight="1">
      <c r="C26" s="42"/>
      <c r="D26" s="35"/>
      <c r="E26" s="36"/>
      <c r="K26" s="38"/>
      <c r="L26" s="39"/>
    </row>
    <row r="30" spans="3:12" ht="17.100000000000001" customHeight="1">
      <c r="C30" s="42"/>
      <c r="D30" s="35"/>
      <c r="E30" s="36"/>
      <c r="K30" s="38"/>
      <c r="L30" s="39"/>
    </row>
  </sheetData>
  <mergeCells count="5">
    <mergeCell ref="K5:L5"/>
    <mergeCell ref="Q2:U2"/>
    <mergeCell ref="Q3:U3"/>
    <mergeCell ref="P4:P5"/>
    <mergeCell ref="C2:M4"/>
  </mergeCells>
  <phoneticPr fontId="5" type="noConversion"/>
  <conditionalFormatting sqref="M1:N1 N2:N4 M5:N8 N9:N27 M9:M30">
    <cfRule type="expression" dxfId="0" priority="1">
      <formula>"취소"</formula>
    </cfRule>
  </conditionalFormatting>
  <dataValidations count="3">
    <dataValidation type="list" allowBlank="1" showInputMessage="1" showErrorMessage="1" sqref="H7:H10" xr:uid="{67E94C19-EEEA-4248-8886-2B53ED726035}">
      <formula1>INDIRECT($G7)</formula1>
    </dataValidation>
    <dataValidation type="list" allowBlank="1" showInputMessage="1" showErrorMessage="1" sqref="E7:E10" xr:uid="{06F2AE37-03EB-428F-A7B1-8D0F454AFD06}">
      <formula1>결제방법</formula1>
    </dataValidation>
    <dataValidation type="list" allowBlank="1" showInputMessage="1" showErrorMessage="1" sqref="G7:G10" xr:uid="{2A0197FF-46A9-40AB-9473-47E52C87259B}">
      <formula1>구분</formula1>
    </dataValidation>
  </dataValidations>
  <hyperlinks>
    <hyperlink ref="Q2" r:id="rId1" xr:uid="{24CF21FA-FEF7-4874-9A59-EA262423776C}"/>
  </hyperlinks>
  <pageMargins left="0.25" right="0.25" top="0.75" bottom="0.75" header="0.3" footer="0.3"/>
  <pageSetup paperSize="9" scale="76" orientation="landscape"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D31-DF43-417B-B34D-FBC056409E0A}">
  <dimension ref="A1"/>
  <sheetViews>
    <sheetView showGridLines="0" zoomScale="85" zoomScaleNormal="85" workbookViewId="0">
      <selection activeCell="K10" sqref="K10"/>
    </sheetView>
  </sheetViews>
  <sheetFormatPr defaultColWidth="9.140625" defaultRowHeight="17.100000000000001" customHeight="1"/>
  <cols>
    <col min="1" max="16384" width="9.140625" style="2"/>
  </cols>
  <sheetData/>
  <phoneticPr fontId="5" type="noConversion"/>
  <printOptions horizontalCentered="1" verticalCentered="1"/>
  <pageMargins left="0.23622047244094491" right="0.23622047244094491" top="0.74803149606299213" bottom="0.39370078740157483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4D3C-B061-4978-8469-0C3289B26AF0}">
  <dimension ref="B2:I9"/>
  <sheetViews>
    <sheetView workbookViewId="0">
      <selection activeCell="C9" sqref="C9"/>
    </sheetView>
  </sheetViews>
  <sheetFormatPr defaultRowHeight="20.100000000000001" customHeight="1"/>
  <cols>
    <col min="2" max="13" width="20.7109375" customWidth="1"/>
  </cols>
  <sheetData>
    <row r="2" spans="2:9" ht="20.100000000000001" customHeight="1">
      <c r="B2" t="s">
        <v>27</v>
      </c>
      <c r="C2" t="s">
        <v>20</v>
      </c>
      <c r="D2" t="s">
        <v>32</v>
      </c>
      <c r="E2" t="s">
        <v>33</v>
      </c>
      <c r="F2" t="s">
        <v>34</v>
      </c>
      <c r="G2" t="s">
        <v>35</v>
      </c>
      <c r="H2" t="s">
        <v>37</v>
      </c>
      <c r="I2" t="s">
        <v>46</v>
      </c>
    </row>
    <row r="3" spans="2:9" ht="20.100000000000001" customHeight="1">
      <c r="B3" t="s">
        <v>13</v>
      </c>
      <c r="C3" t="s">
        <v>32</v>
      </c>
      <c r="D3" t="s">
        <v>52</v>
      </c>
      <c r="E3" t="s">
        <v>33</v>
      </c>
      <c r="F3" t="s">
        <v>38</v>
      </c>
      <c r="G3" t="s">
        <v>41</v>
      </c>
      <c r="H3" t="s">
        <v>37</v>
      </c>
      <c r="I3" t="s">
        <v>83</v>
      </c>
    </row>
    <row r="4" spans="2:9" ht="20.100000000000001" customHeight="1">
      <c r="B4" t="s">
        <v>14</v>
      </c>
      <c r="C4" t="s">
        <v>33</v>
      </c>
      <c r="D4" t="s">
        <v>48</v>
      </c>
      <c r="F4" t="s">
        <v>39</v>
      </c>
      <c r="G4" t="s">
        <v>42</v>
      </c>
    </row>
    <row r="5" spans="2:9" ht="20.100000000000001" customHeight="1">
      <c r="B5" t="s">
        <v>28</v>
      </c>
      <c r="C5" t="s">
        <v>34</v>
      </c>
      <c r="D5" t="s">
        <v>51</v>
      </c>
      <c r="F5" t="s">
        <v>40</v>
      </c>
      <c r="G5" t="s">
        <v>43</v>
      </c>
    </row>
    <row r="6" spans="2:9" ht="20.100000000000001" customHeight="1">
      <c r="B6" t="s">
        <v>29</v>
      </c>
      <c r="C6" t="s">
        <v>35</v>
      </c>
      <c r="D6" t="s">
        <v>49</v>
      </c>
      <c r="G6" t="s">
        <v>44</v>
      </c>
    </row>
    <row r="7" spans="2:9" ht="20.100000000000001" customHeight="1">
      <c r="C7" t="s">
        <v>37</v>
      </c>
      <c r="D7" t="s">
        <v>50</v>
      </c>
      <c r="G7" t="s">
        <v>45</v>
      </c>
    </row>
    <row r="8" spans="2:9" ht="20.100000000000001" customHeight="1">
      <c r="C8" t="s">
        <v>46</v>
      </c>
      <c r="D8" t="s">
        <v>90</v>
      </c>
      <c r="G8" t="s">
        <v>87</v>
      </c>
    </row>
    <row r="9" spans="2:9" ht="20.100000000000001" customHeight="1">
      <c r="D9" t="s">
        <v>53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정산내역</vt:lpstr>
      <vt:lpstr>세부내역</vt:lpstr>
      <vt:lpstr>(예시)세부내역</vt:lpstr>
      <vt:lpstr>(가이드)영수증</vt:lpstr>
      <vt:lpstr>드롭다운</vt:lpstr>
      <vt:lpstr>세부내역!Print_Area</vt:lpstr>
      <vt:lpstr>정산내역!Print_Area</vt:lpstr>
      <vt:lpstr>결제방법</vt:lpstr>
      <vt:lpstr>교통비</vt:lpstr>
      <vt:lpstr>구분</vt:lpstr>
      <vt:lpstr>기타경비</vt:lpstr>
      <vt:lpstr>숙박비</vt:lpstr>
      <vt:lpstr>식비</vt:lpstr>
      <vt:lpstr>업무추진비</vt:lpstr>
      <vt:lpstr>활동비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박정민 (Jeongmin Park)</cp:lastModifiedBy>
  <cp:lastPrinted>2025-09-08T04:26:17Z</cp:lastPrinted>
  <dcterms:created xsi:type="dcterms:W3CDTF">2025-03-31T01:39:35Z</dcterms:created>
  <dcterms:modified xsi:type="dcterms:W3CDTF">2025-12-10T08:19:21Z</dcterms:modified>
</cp:coreProperties>
</file>