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박정민\Desktop\박정민\품의서류\251022_코마린,GHG_외근\"/>
    </mc:Choice>
  </mc:AlternateContent>
  <xr:revisionPtr revIDLastSave="0" documentId="13_ncr:1_{A1D962D6-A9F6-4DD9-ABBA-0139F072BB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정산내역" sheetId="2" r:id="rId1"/>
    <sheet name="세부내역" sheetId="6" r:id="rId2"/>
    <sheet name="(예시)세부내역" sheetId="9" r:id="rId3"/>
    <sheet name="(가이드)영수증" sheetId="5" r:id="rId4"/>
    <sheet name="드롭다운" sheetId="7" state="hidden" r:id="rId5"/>
  </sheets>
  <definedNames>
    <definedName name="_xlnm.Print_Area" localSheetId="2">#REF!</definedName>
    <definedName name="_xlnm.Print_Area" localSheetId="1">세부내역!$B$1:$R$9</definedName>
    <definedName name="_xlnm.Print_Area" localSheetId="0">정산내역!$B$2:$G$26</definedName>
    <definedName name="결제방법">드롭다운!$B$3:$B$6</definedName>
    <definedName name="교통비">드롭다운!$D$3:$D$9</definedName>
    <definedName name="구분">드롭다운!$C$3:$C$8</definedName>
    <definedName name="기타경비">드롭다운!$G$3:$G$9</definedName>
    <definedName name="숙박비">드롭다운!$E$3</definedName>
    <definedName name="식비">드롭다운!$F$3:$F$5</definedName>
    <definedName name="업무추진비">드롭다운!$H$3</definedName>
    <definedName name="활동비">드롭다운!$I$3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KangYoonAh</author>
  </authors>
  <commentList>
    <comment ref="M8" authorId="0" shapeId="0" xr:uid="{D7D7C380-0080-40AC-8C5E-837A3952C919}">
      <text>
        <r>
          <rPr>
            <b/>
            <sz val="9"/>
            <color indexed="81"/>
            <rFont val="Tahoma"/>
            <family val="2"/>
          </rPr>
          <t>KangYoonAh: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자동입력됩니다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E60815-2553-49AD-9AB2-F6AE6082EC07}" keepAlive="1" name="쿼리 - 정산표_6" description="통합 문서의 '정산표_6' 쿼리에 대한 연결입니다." type="5" refreshedVersion="0" background="1">
    <dbPr connection="Provider=Microsoft.Mashup.OleDb.1;Data Source=$Workbook$;Location=정산표_6;Extended Properties=&quot;&quot;" command="SELECT * FROM [정산표_6]"/>
  </connection>
</connections>
</file>

<file path=xl/sharedStrings.xml><?xml version="1.0" encoding="utf-8"?>
<sst xmlns="http://schemas.openxmlformats.org/spreadsheetml/2006/main" count="121" uniqueCount="83">
  <si>
    <t>교통비</t>
    <phoneticPr fontId="6" type="noConversion"/>
  </si>
  <si>
    <t>식비</t>
    <phoneticPr fontId="6" type="noConversion"/>
  </si>
  <si>
    <t>숙박비</t>
    <phoneticPr fontId="6" type="noConversion"/>
  </si>
  <si>
    <t>선급금</t>
    <phoneticPr fontId="6" type="noConversion"/>
  </si>
  <si>
    <t>구분</t>
    <phoneticPr fontId="16" type="noConversion"/>
  </si>
  <si>
    <t>(현지)결제일자</t>
    <phoneticPr fontId="6" type="noConversion"/>
  </si>
  <si>
    <t>결제방법</t>
    <phoneticPr fontId="16" type="noConversion"/>
  </si>
  <si>
    <t>증빙번호</t>
    <phoneticPr fontId="5" type="noConversion"/>
  </si>
  <si>
    <t>거래처/가맹점명</t>
    <phoneticPr fontId="5" type="noConversion"/>
  </si>
  <si>
    <t>항목</t>
    <phoneticPr fontId="5" type="noConversion"/>
  </si>
  <si>
    <t>카드</t>
    <phoneticPr fontId="5" type="noConversion"/>
  </si>
  <si>
    <t>현금</t>
    <phoneticPr fontId="5" type="noConversion"/>
  </si>
  <si>
    <t>정산자</t>
    <phoneticPr fontId="5" type="noConversion"/>
  </si>
  <si>
    <t>기타경비</t>
    <phoneticPr fontId="6" type="noConversion"/>
  </si>
  <si>
    <t>사용금액</t>
    <phoneticPr fontId="6" type="noConversion"/>
  </si>
  <si>
    <t>잔액</t>
    <phoneticPr fontId="6" type="noConversion"/>
  </si>
  <si>
    <t>비고</t>
    <phoneticPr fontId="6" type="noConversion"/>
  </si>
  <si>
    <t>구분</t>
    <phoneticPr fontId="5" type="noConversion"/>
  </si>
  <si>
    <t>(단위 : 표 참조)</t>
    <phoneticPr fontId="5" type="noConversion"/>
  </si>
  <si>
    <t>(단위 : 원)</t>
    <phoneticPr fontId="5" type="noConversion"/>
  </si>
  <si>
    <t>2. 일반 사용 내역</t>
    <phoneticPr fontId="5" type="noConversion"/>
  </si>
  <si>
    <t>5. 비고</t>
    <phoneticPr fontId="5" type="noConversion"/>
  </si>
  <si>
    <t>결제방법</t>
    <phoneticPr fontId="5" type="noConversion"/>
  </si>
  <si>
    <t>개인-카드</t>
    <phoneticPr fontId="5" type="noConversion"/>
  </si>
  <si>
    <t>개인-현금</t>
    <phoneticPr fontId="5" type="noConversion"/>
  </si>
  <si>
    <t>결제금액 (원)</t>
    <phoneticPr fontId="5" type="noConversion"/>
  </si>
  <si>
    <t>교통비</t>
  </si>
  <si>
    <t>교통비</t>
    <phoneticPr fontId="5" type="noConversion"/>
  </si>
  <si>
    <t>숙박비</t>
    <phoneticPr fontId="5" type="noConversion"/>
  </si>
  <si>
    <t>식비</t>
    <phoneticPr fontId="5" type="noConversion"/>
  </si>
  <si>
    <t>기타경비</t>
    <phoneticPr fontId="5" type="noConversion"/>
  </si>
  <si>
    <t>업무추진비</t>
  </si>
  <si>
    <t>업무추진비</t>
    <phoneticPr fontId="5" type="noConversion"/>
  </si>
  <si>
    <t>조식</t>
    <phoneticPr fontId="5" type="noConversion"/>
  </si>
  <si>
    <t>중식</t>
    <phoneticPr fontId="5" type="noConversion"/>
  </si>
  <si>
    <t>석식</t>
    <phoneticPr fontId="5" type="noConversion"/>
  </si>
  <si>
    <t>통신비</t>
    <phoneticPr fontId="5" type="noConversion"/>
  </si>
  <si>
    <t>보험료</t>
    <phoneticPr fontId="5" type="noConversion"/>
  </si>
  <si>
    <t>여행사수수료</t>
    <phoneticPr fontId="5" type="noConversion"/>
  </si>
  <si>
    <t>비자발급</t>
    <phoneticPr fontId="5" type="noConversion"/>
  </si>
  <si>
    <t>예방접종</t>
    <phoneticPr fontId="5" type="noConversion"/>
  </si>
  <si>
    <t>활동비</t>
    <phoneticPr fontId="5" type="noConversion"/>
  </si>
  <si>
    <t>택시</t>
  </si>
  <si>
    <t>택시</t>
    <phoneticPr fontId="5" type="noConversion"/>
  </si>
  <si>
    <t>렌트·콜밴·픽업샌딩</t>
    <phoneticPr fontId="5" type="noConversion"/>
  </si>
  <si>
    <t>버스·공항리무진</t>
    <phoneticPr fontId="5" type="noConversion"/>
  </si>
  <si>
    <t>기차·전철</t>
    <phoneticPr fontId="5" type="noConversion"/>
  </si>
  <si>
    <t>항공·선박</t>
    <phoneticPr fontId="5" type="noConversion"/>
  </si>
  <si>
    <t>기타 교통수단</t>
    <phoneticPr fontId="5" type="noConversion"/>
  </si>
  <si>
    <t>번호</t>
    <phoneticPr fontId="5" type="noConversion"/>
  </si>
  <si>
    <t>정산금</t>
    <phoneticPr fontId="5" type="noConversion"/>
  </si>
  <si>
    <r>
      <t xml:space="preserve">* 개인 카드/현금은 </t>
    </r>
    <r>
      <rPr>
        <b/>
        <sz val="11"/>
        <color theme="1"/>
        <rFont val="맑은 고딕"/>
        <family val="3"/>
        <charset val="129"/>
        <scheme val="minor"/>
      </rPr>
      <t>예외적</t>
    </r>
    <r>
      <rPr>
        <sz val="11"/>
        <color theme="1"/>
        <rFont val="맑은 고딕"/>
        <family val="3"/>
        <charset val="129"/>
        <scheme val="minor"/>
      </rPr>
      <t xml:space="preserve">으로만 사용함.  
   </t>
    </r>
    <r>
      <rPr>
        <b/>
        <sz val="11"/>
        <color theme="1"/>
        <rFont val="맑은 고딕"/>
        <family val="3"/>
        <charset val="129"/>
        <scheme val="minor"/>
      </rPr>
      <t>사유, 증빙이 명확하지 않을 경우 불인정함.</t>
    </r>
    <r>
      <rPr>
        <sz val="11"/>
        <color theme="1"/>
        <rFont val="맑은 고딕"/>
        <family val="3"/>
        <charset val="129"/>
        <scheme val="minor"/>
      </rPr>
      <t xml:space="preserve">
 * </t>
    </r>
    <r>
      <rPr>
        <b/>
        <sz val="11"/>
        <color theme="1"/>
        <rFont val="맑은 고딕"/>
        <family val="3"/>
        <charset val="129"/>
        <scheme val="minor"/>
      </rPr>
      <t>환율을 반영하여, 개인별 총 합계만 작성</t>
    </r>
    <r>
      <rPr>
        <sz val="11"/>
        <color theme="1"/>
        <rFont val="맑은 고딕"/>
        <family val="3"/>
        <charset val="129"/>
        <scheme val="minor"/>
      </rPr>
      <t xml:space="preserve">
 * 정산자가 추가 될 경우, 행을 추가함.</t>
    </r>
    <phoneticPr fontId="5" type="noConversion"/>
  </si>
  <si>
    <t>활동비</t>
    <phoneticPr fontId="6" type="noConversion"/>
  </si>
  <si>
    <t>예시)</t>
    <phoneticPr fontId="5" type="noConversion"/>
  </si>
  <si>
    <t>카드</t>
  </si>
  <si>
    <t>현금</t>
  </si>
  <si>
    <t>카드번호
(해당시)</t>
    <phoneticPr fontId="16" type="noConversion"/>
  </si>
  <si>
    <t>***사 접대</t>
    <phoneticPr fontId="5" type="noConversion"/>
  </si>
  <si>
    <t>숙소 → ***사 이동</t>
    <phoneticPr fontId="5" type="noConversion"/>
  </si>
  <si>
    <t>총 합계</t>
    <phoneticPr fontId="5" type="noConversion"/>
  </si>
  <si>
    <r>
      <t xml:space="preserve">&lt;작성 가이드&gt;
* </t>
    </r>
    <r>
      <rPr>
        <b/>
        <sz val="10"/>
        <color rgb="FFFF0000"/>
        <rFont val="맑은 고딕"/>
        <family val="3"/>
        <charset val="129"/>
        <scheme val="minor"/>
      </rPr>
      <t>흰색 칸만 입력</t>
    </r>
    <r>
      <rPr>
        <b/>
        <sz val="10"/>
        <color theme="1"/>
        <rFont val="맑은 고딕"/>
        <family val="3"/>
        <charset val="129"/>
        <scheme val="minor"/>
      </rPr>
      <t xml:space="preserve">해주세요!
* </t>
    </r>
    <r>
      <rPr>
        <b/>
        <sz val="10"/>
        <color rgb="FFFF0000"/>
        <rFont val="맑은 고딕"/>
        <family val="3"/>
        <charset val="129"/>
        <scheme val="minor"/>
      </rPr>
      <t>수식은 절대 변경하지 마십시오.</t>
    </r>
    <phoneticPr fontId="5" type="noConversion"/>
  </si>
  <si>
    <t xml:space="preserve"> 1. 
  2. </t>
    <phoneticPr fontId="6" type="noConversion"/>
  </si>
  <si>
    <t>4. 개인 카드·현금 사용 내역 (해당 시)</t>
    <phoneticPr fontId="5" type="noConversion"/>
  </si>
  <si>
    <t>사용 목적
(개인 카드·현금 사용 사유)</t>
    <phoneticPr fontId="16" type="noConversion"/>
  </si>
  <si>
    <t>팀 활동비</t>
    <phoneticPr fontId="5" type="noConversion"/>
  </si>
  <si>
    <t>외근 정산내역서</t>
    <phoneticPr fontId="6" type="noConversion"/>
  </si>
  <si>
    <t>1. 외근개요</t>
    <phoneticPr fontId="5" type="noConversion"/>
  </si>
  <si>
    <t>외근 목적</t>
    <phoneticPr fontId="6" type="noConversion"/>
  </si>
  <si>
    <t>외근 일자</t>
    <phoneticPr fontId="5" type="noConversion"/>
  </si>
  <si>
    <t>복명자</t>
    <phoneticPr fontId="5" type="noConversion"/>
  </si>
  <si>
    <t>외근지</t>
    <phoneticPr fontId="6" type="noConversion"/>
  </si>
  <si>
    <t>3. 선급금 사용 내역 (해당 시)</t>
    <phoneticPr fontId="5" type="noConversion"/>
  </si>
  <si>
    <t>KRW</t>
    <phoneticPr fontId="5" type="noConversion"/>
  </si>
  <si>
    <t>스타벅스</t>
    <phoneticPr fontId="5" type="noConversion"/>
  </si>
  <si>
    <t xml:space="preserve">구분(화폐단위)                 </t>
    <phoneticPr fontId="5" type="noConversion"/>
  </si>
  <si>
    <t>(선박) 잡자재·재료비</t>
    <phoneticPr fontId="5" type="noConversion"/>
  </si>
  <si>
    <t>주유비·통행료·주차비</t>
    <phoneticPr fontId="5" type="noConversion"/>
  </si>
  <si>
    <t>코마린 업무지원 및 GHG 3차년도 진도점검 회의 참석</t>
    <phoneticPr fontId="5" type="noConversion"/>
  </si>
  <si>
    <t>2025.10.22 수요일</t>
    <phoneticPr fontId="5" type="noConversion"/>
  </si>
  <si>
    <t>박정민 매니저</t>
    <phoneticPr fontId="5" type="noConversion"/>
  </si>
  <si>
    <t>부산 해운대구(벡스코, 해운대 라마다 호텔)</t>
    <phoneticPr fontId="5" type="noConversion"/>
  </si>
  <si>
    <t>2025.10.22</t>
    <phoneticPr fontId="5" type="noConversion"/>
  </si>
  <si>
    <t>부산 37바 2506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</si>
</sst>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-[$₩-412]* #,##0_-;\-[$₩-412]* #,##0_-;_-[$₩-412]* &quot;-&quot;??_-;_-@_-"/>
    <numFmt numFmtId="177" formatCode="[$¥-804]#,##0.00_);[Red]\([$¥-804]#,##0.00\)"/>
    <numFmt numFmtId="178" formatCode="_-[$¥-411]* #,##0_-;\-[$¥-411]* #,##0_-;_-[$¥-411]* &quot;-&quot;??_-;_-@_-"/>
    <numFmt numFmtId="179" formatCode="_-[$USD]\ * #,##0_-;\-[$USD]\ * #,##0_-;_-[$USD]\ * &quot;-&quot;_-;_-@_-"/>
    <numFmt numFmtId="180" formatCode="&quot;₩&quot;#,##0"/>
    <numFmt numFmtId="181" formatCode="_-[$₩-412]* #,##0.00_-;\-[$₩-412]* #,##0.00_-;_-[$₩-412]* &quot;-&quot;??_-;_-@_-"/>
    <numFmt numFmtId="182" formatCode="_-* #,##0.00_-;\-* #,##0.00_-;_-* &quot;-&quot;_-;_-@_-"/>
    <numFmt numFmtId="183" formatCode="0_);[Red]\(0\)"/>
  </numFmts>
  <fonts count="25">
    <font>
      <sz val="10"/>
      <color rgb="FF000000"/>
      <name val="Malgun Gothic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name val="Malgun Gothic"/>
      <family val="2"/>
      <charset val="129"/>
    </font>
    <font>
      <sz val="8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Malgun Gothic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u/>
      <sz val="12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499984740745262"/>
      <name val="맑은 고딕"/>
      <family val="3"/>
      <charset val="129"/>
      <scheme val="minor"/>
    </font>
    <font>
      <b/>
      <sz val="10"/>
      <color theme="0" tint="-0.499984740745262"/>
      <name val="Malgun Gothic"/>
      <family val="2"/>
      <charset val="129"/>
    </font>
    <font>
      <b/>
      <sz val="10"/>
      <color rgb="FF000000"/>
      <name val="Malgun Gothic"/>
      <family val="3"/>
      <charset val="129"/>
    </font>
    <font>
      <b/>
      <sz val="23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2" fillId="2" borderId="0">
      <alignment vertical="center"/>
    </xf>
    <xf numFmtId="41" fontId="2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0" fontId="1" fillId="2" borderId="0">
      <alignment vertical="center"/>
    </xf>
    <xf numFmtId="41" fontId="1" fillId="2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79">
    <xf numFmtId="0" fontId="0" fillId="0" borderId="0" xfId="0" applyAlignment="1">
      <alignment horizontal="left" vertical="center" wrapText="1"/>
    </xf>
    <xf numFmtId="0" fontId="7" fillId="2" borderId="0" xfId="1" applyFont="1" applyAlignment="1">
      <alignment horizontal="center" vertical="center"/>
    </xf>
    <xf numFmtId="0" fontId="2" fillId="2" borderId="0" xfId="1">
      <alignment vertical="center"/>
    </xf>
    <xf numFmtId="0" fontId="8" fillId="2" borderId="1" xfId="1" applyFont="1" applyBorder="1">
      <alignment vertical="center"/>
    </xf>
    <xf numFmtId="0" fontId="9" fillId="2" borderId="0" xfId="1" applyFont="1">
      <alignment vertical="center"/>
    </xf>
    <xf numFmtId="0" fontId="2" fillId="2" borderId="0" xfId="1" applyAlignment="1">
      <alignment horizontal="left" vertical="center"/>
    </xf>
    <xf numFmtId="0" fontId="10" fillId="3" borderId="0" xfId="1" applyFont="1" applyFill="1">
      <alignment vertical="center"/>
    </xf>
    <xf numFmtId="0" fontId="2" fillId="3" borderId="0" xfId="1" applyFill="1">
      <alignment vertical="center"/>
    </xf>
    <xf numFmtId="0" fontId="2" fillId="3" borderId="0" xfId="1" applyFill="1" applyAlignment="1">
      <alignment horizontal="center" vertical="center"/>
    </xf>
    <xf numFmtId="177" fontId="2" fillId="4" borderId="0" xfId="1" applyNumberFormat="1" applyFill="1">
      <alignment vertical="center"/>
    </xf>
    <xf numFmtId="0" fontId="8" fillId="2" borderId="1" xfId="1" applyFont="1" applyBorder="1" applyAlignment="1">
      <alignment horizontal="center" vertical="center"/>
    </xf>
    <xf numFmtId="176" fontId="8" fillId="2" borderId="1" xfId="1" applyNumberFormat="1" applyFont="1" applyBorder="1" applyAlignment="1">
      <alignment horizontal="center" vertical="center"/>
    </xf>
    <xf numFmtId="0" fontId="2" fillId="2" borderId="0" xfId="1" applyAlignment="1">
      <alignment horizontal="center" vertical="center"/>
    </xf>
    <xf numFmtId="177" fontId="2" fillId="2" borderId="0" xfId="1" applyNumberFormat="1">
      <alignment vertical="center"/>
    </xf>
    <xf numFmtId="0" fontId="8" fillId="3" borderId="0" xfId="1" applyFont="1" applyFill="1">
      <alignment vertical="center"/>
    </xf>
    <xf numFmtId="180" fontId="8" fillId="4" borderId="0" xfId="1" applyNumberFormat="1" applyFont="1" applyFill="1">
      <alignment vertical="center"/>
    </xf>
    <xf numFmtId="180" fontId="8" fillId="2" borderId="0" xfId="1" applyNumberFormat="1" applyFont="1">
      <alignment vertical="center"/>
    </xf>
    <xf numFmtId="0" fontId="8" fillId="2" borderId="0" xfId="1" applyFont="1">
      <alignment vertical="center"/>
    </xf>
    <xf numFmtId="0" fontId="3" fillId="2" borderId="0" xfId="1" applyFont="1">
      <alignment vertical="center"/>
    </xf>
    <xf numFmtId="177" fontId="8" fillId="3" borderId="0" xfId="1" applyNumberFormat="1" applyFont="1" applyFill="1">
      <alignment vertical="center"/>
    </xf>
    <xf numFmtId="177" fontId="3" fillId="2" borderId="0" xfId="1" applyNumberFormat="1" applyFont="1">
      <alignment vertical="center"/>
    </xf>
    <xf numFmtId="177" fontId="8" fillId="2" borderId="0" xfId="1" applyNumberFormat="1" applyFont="1">
      <alignment vertical="center"/>
    </xf>
    <xf numFmtId="0" fontId="4" fillId="2" borderId="0" xfId="1" applyFont="1">
      <alignment vertical="center"/>
    </xf>
    <xf numFmtId="176" fontId="17" fillId="2" borderId="0" xfId="1" applyNumberFormat="1" applyFont="1">
      <alignment vertical="center"/>
    </xf>
    <xf numFmtId="178" fontId="17" fillId="2" borderId="0" xfId="1" applyNumberFormat="1" applyFont="1">
      <alignment vertical="center"/>
    </xf>
    <xf numFmtId="179" fontId="10" fillId="3" borderId="2" xfId="1" applyNumberFormat="1" applyFont="1" applyFill="1" applyBorder="1" applyAlignment="1">
      <alignment horizontal="center" vertical="center"/>
    </xf>
    <xf numFmtId="0" fontId="9" fillId="2" borderId="0" xfId="1" applyFont="1" applyAlignment="1">
      <alignment horizontal="center" vertical="center"/>
    </xf>
    <xf numFmtId="0" fontId="7" fillId="2" borderId="0" xfId="1" applyFont="1">
      <alignment vertical="center"/>
    </xf>
    <xf numFmtId="0" fontId="18" fillId="2" borderId="3" xfId="1" applyFont="1" applyBorder="1">
      <alignment vertical="center"/>
    </xf>
    <xf numFmtId="0" fontId="11" fillId="2" borderId="3" xfId="1" applyFont="1" applyBorder="1" applyAlignment="1">
      <alignment horizontal="right"/>
    </xf>
    <xf numFmtId="178" fontId="8" fillId="4" borderId="1" xfId="1" applyNumberFormat="1" applyFont="1" applyFill="1" applyBorder="1" applyAlignment="1">
      <alignment horizontal="center" vertical="center"/>
    </xf>
    <xf numFmtId="176" fontId="10" fillId="3" borderId="2" xfId="2" applyNumberFormat="1" applyFont="1" applyFill="1" applyBorder="1">
      <alignment vertical="center"/>
    </xf>
    <xf numFmtId="182" fontId="8" fillId="4" borderId="1" xfId="6" applyNumberFormat="1" applyFont="1" applyFill="1" applyBorder="1">
      <alignment vertical="center"/>
    </xf>
    <xf numFmtId="182" fontId="8" fillId="5" borderId="1" xfId="6" applyNumberFormat="1" applyFont="1" applyFill="1" applyBorder="1">
      <alignment vertical="center"/>
    </xf>
    <xf numFmtId="183" fontId="8" fillId="2" borderId="1" xfId="1" applyNumberFormat="1" applyFont="1" applyBorder="1" applyAlignment="1">
      <alignment horizontal="center" vertical="center"/>
    </xf>
    <xf numFmtId="0" fontId="20" fillId="2" borderId="0" xfId="1" applyFont="1" applyAlignment="1">
      <alignment horizontal="center" vertical="center"/>
    </xf>
    <xf numFmtId="181" fontId="11" fillId="2" borderId="0" xfId="1" applyNumberFormat="1" applyFont="1" applyAlignment="1">
      <alignment horizontal="center" vertical="center"/>
    </xf>
    <xf numFmtId="0" fontId="11" fillId="2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20" fillId="2" borderId="0" xfId="1" applyNumberFormat="1" applyFont="1" applyAlignment="1">
      <alignment horizontal="center" vertical="center"/>
    </xf>
    <xf numFmtId="14" fontId="11" fillId="2" borderId="0" xfId="1" applyNumberFormat="1" applyFont="1" applyAlignment="1">
      <alignment horizontal="center" vertical="center"/>
    </xf>
    <xf numFmtId="0" fontId="20" fillId="6" borderId="6" xfId="1" applyFont="1" applyFill="1" applyBorder="1" applyAlignment="1">
      <alignment horizontal="center" vertical="center"/>
    </xf>
    <xf numFmtId="0" fontId="20" fillId="6" borderId="6" xfId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176" fontId="11" fillId="2" borderId="0" xfId="6" applyNumberFormat="1" applyFont="1" applyFill="1" applyAlignment="1">
      <alignment horizontal="center" vertical="center"/>
    </xf>
    <xf numFmtId="41" fontId="8" fillId="5" borderId="1" xfId="6" applyFont="1" applyFill="1" applyBorder="1">
      <alignment vertical="center"/>
    </xf>
    <xf numFmtId="0" fontId="23" fillId="6" borderId="1" xfId="0" applyFont="1" applyFill="1" applyBorder="1" applyAlignment="1">
      <alignment horizontal="center" vertical="center" wrapText="1"/>
    </xf>
    <xf numFmtId="0" fontId="21" fillId="0" borderId="1" xfId="1" applyFont="1" applyFill="1" applyBorder="1" applyAlignment="1">
      <alignment horizontal="center" vertical="center"/>
    </xf>
    <xf numFmtId="181" fontId="21" fillId="0" borderId="1" xfId="1" applyNumberFormat="1" applyFont="1" applyFill="1" applyBorder="1" applyAlignment="1">
      <alignment horizontal="center" vertical="center"/>
    </xf>
    <xf numFmtId="14" fontId="21" fillId="0" borderId="1" xfId="1" applyNumberFormat="1" applyFont="1" applyFill="1" applyBorder="1" applyAlignment="1">
      <alignment horizontal="center" vertical="center"/>
    </xf>
    <xf numFmtId="176" fontId="21" fillId="0" borderId="0" xfId="6" applyNumberFormat="1" applyFont="1" applyFill="1" applyBorder="1" applyAlignment="1">
      <alignment horizontal="center" vertical="center"/>
    </xf>
    <xf numFmtId="14" fontId="20" fillId="6" borderId="6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wrapText="1"/>
    </xf>
    <xf numFmtId="41" fontId="0" fillId="5" borderId="1" xfId="6" applyFont="1" applyFill="1" applyBorder="1" applyAlignment="1">
      <alignment horizontal="center" vertical="center" wrapText="1"/>
    </xf>
    <xf numFmtId="0" fontId="11" fillId="2" borderId="1" xfId="1" applyFont="1" applyBorder="1" applyAlignment="1">
      <alignment horizontal="center" vertical="center"/>
    </xf>
    <xf numFmtId="0" fontId="11" fillId="2" borderId="7" xfId="1" applyFont="1" applyBorder="1" applyAlignment="1">
      <alignment horizontal="center" vertical="center"/>
    </xf>
    <xf numFmtId="14" fontId="20" fillId="6" borderId="9" xfId="1" applyNumberFormat="1" applyFont="1" applyFill="1" applyBorder="1" applyAlignment="1">
      <alignment horizontal="center" vertical="center"/>
    </xf>
    <xf numFmtId="176" fontId="20" fillId="6" borderId="8" xfId="6" applyNumberFormat="1" applyFont="1" applyFill="1" applyBorder="1" applyAlignment="1">
      <alignment horizontal="center" vertical="center"/>
    </xf>
    <xf numFmtId="14" fontId="11" fillId="2" borderId="5" xfId="1" applyNumberFormat="1" applyFont="1" applyBorder="1" applyAlignment="1">
      <alignment horizontal="center" vertical="center"/>
    </xf>
    <xf numFmtId="176" fontId="11" fillId="2" borderId="4" xfId="6" applyNumberFormat="1" applyFont="1" applyFill="1" applyBorder="1" applyAlignment="1">
      <alignment horizontal="center" vertical="center"/>
    </xf>
    <xf numFmtId="14" fontId="11" fillId="2" borderId="10" xfId="1" applyNumberFormat="1" applyFont="1" applyBorder="1" applyAlignment="1">
      <alignment horizontal="center" vertical="center"/>
    </xf>
    <xf numFmtId="176" fontId="11" fillId="2" borderId="11" xfId="6" applyNumberFormat="1" applyFont="1" applyFill="1" applyBorder="1" applyAlignment="1">
      <alignment horizontal="center" vertical="center"/>
    </xf>
    <xf numFmtId="41" fontId="8" fillId="2" borderId="1" xfId="6" applyFont="1" applyFill="1" applyBorder="1" applyAlignment="1">
      <alignment horizontal="center" vertical="center"/>
    </xf>
    <xf numFmtId="176" fontId="8" fillId="2" borderId="1" xfId="6" applyNumberFormat="1" applyFont="1" applyFill="1" applyBorder="1" applyAlignment="1">
      <alignment vertical="center"/>
    </xf>
    <xf numFmtId="14" fontId="11" fillId="0" borderId="5" xfId="1" applyNumberFormat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181" fontId="11" fillId="0" borderId="1" xfId="1" applyNumberFormat="1" applyFont="1" applyFill="1" applyBorder="1" applyAlignment="1">
      <alignment horizontal="center" vertical="center"/>
    </xf>
    <xf numFmtId="176" fontId="11" fillId="0" borderId="4" xfId="6" applyNumberFormat="1" applyFont="1" applyFill="1" applyBorder="1" applyAlignment="1">
      <alignment horizontal="center" vertical="center"/>
    </xf>
    <xf numFmtId="0" fontId="18" fillId="2" borderId="3" xfId="1" applyFont="1" applyBorder="1" applyAlignment="1">
      <alignment horizontal="left" vertical="center"/>
    </xf>
    <xf numFmtId="176" fontId="8" fillId="2" borderId="1" xfId="1" applyNumberFormat="1" applyFont="1" applyBorder="1" applyAlignment="1">
      <alignment horizontal="left" vertical="center" wrapText="1"/>
    </xf>
    <xf numFmtId="0" fontId="24" fillId="2" borderId="0" xfId="1" applyFont="1" applyAlignment="1">
      <alignment horizontal="center" vertical="center"/>
    </xf>
    <xf numFmtId="176" fontId="8" fillId="2" borderId="1" xfId="1" applyNumberFormat="1" applyFont="1" applyBorder="1" applyAlignment="1">
      <alignment horizontal="left" vertical="center"/>
    </xf>
    <xf numFmtId="0" fontId="9" fillId="2" borderId="2" xfId="1" applyFont="1" applyBorder="1" applyAlignment="1">
      <alignment horizontal="center"/>
    </xf>
    <xf numFmtId="176" fontId="8" fillId="2" borderId="4" xfId="1" applyNumberFormat="1" applyFont="1" applyBorder="1" applyAlignment="1">
      <alignment horizontal="center" vertical="center"/>
    </xf>
    <xf numFmtId="176" fontId="8" fillId="2" borderId="5" xfId="1" applyNumberFormat="1" applyFont="1" applyBorder="1" applyAlignment="1">
      <alignment horizontal="center" vertical="center"/>
    </xf>
    <xf numFmtId="182" fontId="8" fillId="0" borderId="4" xfId="6" applyNumberFormat="1" applyFont="1" applyFill="1" applyBorder="1" applyAlignment="1">
      <alignment horizontal="center" vertical="center"/>
    </xf>
    <xf numFmtId="182" fontId="8" fillId="0" borderId="5" xfId="6" applyNumberFormat="1" applyFont="1" applyFill="1" applyBorder="1" applyAlignment="1">
      <alignment horizontal="center" vertical="center"/>
    </xf>
    <xf numFmtId="14" fontId="20" fillId="2" borderId="0" xfId="1" applyNumberFormat="1" applyFont="1" applyAlignment="1">
      <alignment horizontal="left" vertical="top" wrapText="1"/>
    </xf>
  </cellXfs>
  <cellStyles count="7">
    <cellStyle name="쉼표 [0]" xfId="6" builtinId="6"/>
    <cellStyle name="쉼표 [0] 2" xfId="2" xr:uid="{5AC2AF38-0C4E-4143-AA59-438219A85255}"/>
    <cellStyle name="쉼표 [0] 2 2" xfId="5" xr:uid="{4B6A6016-2A8E-4266-9137-6BBCBFCAA35F}"/>
    <cellStyle name="표준" xfId="0" builtinId="0"/>
    <cellStyle name="표준 2" xfId="1" xr:uid="{AB7359C4-BE31-40AE-A55D-ED2AA4381B9B}"/>
    <cellStyle name="표준 2 2" xfId="4" xr:uid="{8857644F-731E-4F3D-A160-4430051B89EF}"/>
    <cellStyle name="표준 3" xfId="3" xr:uid="{5299BEB4-E863-478D-90E2-BD8EACD86E64}"/>
  </cellStyles>
  <dxfs count="26">
    <dxf>
      <font>
        <color rgb="FFFF0000"/>
      </font>
    </dxf>
    <dxf>
      <font>
        <color rgb="FFFF0000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89649</xdr:colOff>
      <xdr:row>3</xdr:row>
      <xdr:rowOff>313765</xdr:rowOff>
    </xdr:from>
    <xdr:to>
      <xdr:col>16</xdr:col>
      <xdr:colOff>123265</xdr:colOff>
      <xdr:row>22</xdr:row>
      <xdr:rowOff>280147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C3B936-FB80-190A-7656-C9A0BD0A4873}"/>
            </a:ext>
          </a:extLst>
        </xdr:cNvPr>
        <xdr:cNvSpPr txBox="1"/>
      </xdr:nvSpPr>
      <xdr:spPr>
        <a:xfrm>
          <a:off x="8572502" y="1288677"/>
          <a:ext cx="5916704" cy="62528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400" b="1">
              <a:latin typeface="+mn-ea"/>
              <a:ea typeface="+mn-ea"/>
            </a:rPr>
            <a:t>&lt;</a:t>
          </a:r>
          <a:r>
            <a:rPr lang="ko-KR" altLang="en-US" sz="1400" b="1">
              <a:latin typeface="+mn-ea"/>
              <a:ea typeface="+mn-ea"/>
            </a:rPr>
            <a:t>작성 가이드</a:t>
          </a:r>
          <a:r>
            <a:rPr lang="en-US" altLang="ko-KR" sz="1400" b="1">
              <a:latin typeface="+mn-ea"/>
              <a:ea typeface="+mn-ea"/>
            </a:rPr>
            <a:t>&gt;</a:t>
          </a:r>
        </a:p>
        <a:p>
          <a:pPr algn="l"/>
          <a:endParaRPr lang="en-US" altLang="ko-KR" sz="1100" b="0">
            <a:latin typeface="+mn-ea"/>
            <a:ea typeface="+mn-ea"/>
          </a:endParaRPr>
        </a:p>
        <a:p>
          <a:pPr algn="l"/>
          <a:r>
            <a:rPr lang="en-US" altLang="ko-KR" sz="1100" b="0">
              <a:latin typeface="+mn-ea"/>
              <a:ea typeface="+mn-ea"/>
            </a:rPr>
            <a:t>1. 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양식을 임의로 변경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/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삭제하지 마십시오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.</a:t>
          </a:r>
        </a:p>
        <a:p>
          <a:pPr algn="l"/>
          <a:endParaRPr lang="en-US" altLang="ko-KR" sz="1100" b="0">
            <a:latin typeface="+mn-ea"/>
            <a:ea typeface="+mn-ea"/>
          </a:endParaRPr>
        </a:p>
        <a:p>
          <a:pPr algn="l"/>
          <a:r>
            <a:rPr lang="en-US" altLang="ko-KR" sz="1100" b="0">
              <a:latin typeface="+mn-ea"/>
              <a:ea typeface="+mn-ea"/>
            </a:rPr>
            <a:t>2. 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회색 셀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(12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행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, E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열 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16~18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행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)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의 수식을 임의로 수정하지 마십시오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.</a:t>
          </a:r>
        </a:p>
        <a:p>
          <a:pPr algn="l"/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3.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외화선급금이 없는 경우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3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번 미작성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4.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개인 사용 내역이 없는 경우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4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번 미작성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5.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개인 카드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현금을 사용한 경우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4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번 작성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1)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개인 카드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·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현금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의 사용이 가능한 경우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  -.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법인 카드의 오류로 인해 일시적 사용 인정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</a:t>
          </a: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  -.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법인 카드의 분실로 인해 사용이 불가한 경우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  -.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법인 카드를 보유한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출장자와 일정이 다른 경우 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선급금을 받은 경우 불인정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  -.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선급금을 전액 소진하였는데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현금 사용만 가능한 경우 개인 현금 인정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2)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단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위 경우에도 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증빙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실물 영수증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없다면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불인정함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3) </a:t>
          </a:r>
          <a:r>
            <a:rPr lang="ko-KR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외 사유는 증빙이 있더라도 모두 불인정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하며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'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세부내역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시트 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열에 반드시 사유 기입</a:t>
          </a:r>
          <a:endParaRPr lang="ko-KR" altLang="ko-K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369794</xdr:colOff>
      <xdr:row>3</xdr:row>
      <xdr:rowOff>0</xdr:rowOff>
    </xdr:from>
    <xdr:to>
      <xdr:col>9</xdr:col>
      <xdr:colOff>244386</xdr:colOff>
      <xdr:row>39</xdr:row>
      <xdr:rowOff>127713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089967-AAA5-DCE6-857F-ACED8376F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912" y="638735"/>
          <a:ext cx="4715533" cy="779253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10</xdr:col>
      <xdr:colOff>537883</xdr:colOff>
      <xdr:row>3</xdr:row>
      <xdr:rowOff>0</xdr:rowOff>
    </xdr:from>
    <xdr:to>
      <xdr:col>23</xdr:col>
      <xdr:colOff>381001</xdr:colOff>
      <xdr:row>34</xdr:row>
      <xdr:rowOff>33617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EE0FBB-6043-40ED-A9F1-84559E9D8675}"/>
            </a:ext>
          </a:extLst>
        </xdr:cNvPr>
        <xdr:cNvSpPr txBox="1"/>
      </xdr:nvSpPr>
      <xdr:spPr>
        <a:xfrm>
          <a:off x="6589059" y="638735"/>
          <a:ext cx="7709648" cy="66338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400" b="1">
              <a:latin typeface="+mn-ea"/>
              <a:ea typeface="+mn-ea"/>
            </a:rPr>
            <a:t>&lt;</a:t>
          </a:r>
          <a:r>
            <a:rPr lang="ko-KR" altLang="en-US" sz="1400" b="1">
              <a:latin typeface="+mn-ea"/>
              <a:ea typeface="+mn-ea"/>
            </a:rPr>
            <a:t>영수증 가이드</a:t>
          </a:r>
          <a:r>
            <a:rPr lang="en-US" altLang="ko-KR" sz="1400" b="1">
              <a:latin typeface="+mn-ea"/>
              <a:ea typeface="+mn-ea"/>
            </a:rPr>
            <a:t>&gt;</a:t>
          </a:r>
        </a:p>
        <a:p>
          <a:pPr algn="l"/>
          <a:endParaRPr lang="en-US" altLang="ko-KR" sz="1100" b="0">
            <a:latin typeface="+mn-ea"/>
            <a:ea typeface="+mn-ea"/>
          </a:endParaRPr>
        </a:p>
        <a:p>
          <a:pPr algn="l"/>
          <a:r>
            <a:rPr lang="en-US" altLang="ko-KR" sz="1100" b="0">
              <a:latin typeface="+mn-ea"/>
              <a:ea typeface="+mn-ea"/>
            </a:rPr>
            <a:t>1. </a:t>
          </a:r>
          <a:r>
            <a:rPr lang="ko-KR" altLang="en-US" sz="1100" b="0">
              <a:latin typeface="+mn-ea"/>
              <a:ea typeface="+mn-ea"/>
            </a:rPr>
            <a:t>법인 현금</a:t>
          </a:r>
          <a:r>
            <a:rPr lang="en-US" altLang="ko-KR" sz="1100" b="0">
              <a:latin typeface="+mn-ea"/>
              <a:ea typeface="+mn-ea"/>
            </a:rPr>
            <a:t>+</a:t>
          </a:r>
          <a:r>
            <a:rPr lang="ko-KR" altLang="en-US" sz="1100" b="0">
              <a:latin typeface="+mn-ea"/>
              <a:ea typeface="+mn-ea"/>
            </a:rPr>
            <a:t>카드 </a:t>
          </a:r>
          <a:r>
            <a:rPr lang="en-US" altLang="ko-KR" sz="1100" b="0">
              <a:latin typeface="+mn-ea"/>
              <a:ea typeface="+mn-ea"/>
            </a:rPr>
            <a:t>/ </a:t>
          </a:r>
          <a:r>
            <a:rPr lang="ko-KR" altLang="en-US" sz="1100" b="0">
              <a:latin typeface="+mn-ea"/>
              <a:ea typeface="+mn-ea"/>
            </a:rPr>
            <a:t>개인 현금</a:t>
          </a:r>
          <a:r>
            <a:rPr lang="en-US" altLang="ko-KR" sz="1100" b="0">
              <a:latin typeface="+mn-ea"/>
              <a:ea typeface="+mn-ea"/>
            </a:rPr>
            <a:t>+</a:t>
          </a:r>
          <a:r>
            <a:rPr lang="ko-KR" altLang="en-US" sz="1100" b="0">
              <a:latin typeface="+mn-ea"/>
              <a:ea typeface="+mn-ea"/>
            </a:rPr>
            <a:t>카드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모든 영수증은 필수 </a:t>
          </a:r>
          <a:r>
            <a:rPr lang="ko-KR" altLang="en-US" sz="1100" b="0">
              <a:latin typeface="+mn-ea"/>
              <a:ea typeface="+mn-ea"/>
            </a:rPr>
            <a:t>입니다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.</a:t>
          </a:r>
        </a:p>
        <a:p>
          <a:pPr algn="l"/>
          <a:endParaRPr lang="en-US" altLang="ko-KR" sz="1100" b="1">
            <a:solidFill>
              <a:srgbClr val="FF0000"/>
            </a:solidFill>
            <a:latin typeface="+mn-ea"/>
            <a:ea typeface="+mn-ea"/>
          </a:endParaRPr>
        </a:p>
        <a:p>
          <a:pPr algn="l"/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2. 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영수증의 원본 훼손을 엄격히 금지 합니다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. 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→ 탈부착하여 정산 필요합니다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. </a:t>
          </a:r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원본이 훼손되지 않도록 유의 바랍니다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.</a:t>
          </a:r>
        </a:p>
        <a:p>
          <a:pPr algn="l"/>
          <a:r>
            <a:rPr lang="en-US" altLang="ko-KR" sz="1100" b="0">
              <a:solidFill>
                <a:schemeClr val="tx1"/>
              </a:solidFill>
              <a:latin typeface="+mn-ea"/>
              <a:ea typeface="+mn-ea"/>
            </a:rPr>
            <a:t> 1)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영수증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원본에는 번호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형광펜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각종 기입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등 금지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</a:t>
          </a: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2)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이면지에 </a:t>
          </a:r>
          <a:r>
            <a:rPr lang="ko-KR" altLang="en-US" sz="1100" b="1" baseline="0">
              <a:solidFill>
                <a:srgbClr val="FF0000"/>
              </a:solidFill>
              <a:latin typeface="+mn-ea"/>
              <a:ea typeface="+mn-ea"/>
            </a:rPr>
            <a:t>영수증 부착 후</a:t>
          </a:r>
          <a:r>
            <a:rPr lang="en-US" altLang="ko-KR" sz="1100" b="1" baseline="0">
              <a:solidFill>
                <a:srgbClr val="FF0000"/>
              </a:solidFill>
              <a:latin typeface="+mn-ea"/>
              <a:ea typeface="+mn-ea"/>
            </a:rPr>
            <a:t>, </a:t>
          </a:r>
          <a:r>
            <a:rPr lang="ko-KR" altLang="en-US" sz="1100" b="1" u="sng" baseline="0">
              <a:solidFill>
                <a:srgbClr val="FF0000"/>
              </a:solidFill>
              <a:latin typeface="+mn-ea"/>
              <a:ea typeface="+mn-ea"/>
            </a:rPr>
            <a:t>이면지에 증빙 번호를 기입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해주십시오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.</a:t>
          </a: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  -. (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그림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)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올바른 예시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1,3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번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/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잘못된 예시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2,4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번 </a:t>
          </a:r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 3)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영수증은 </a:t>
          </a:r>
          <a:r>
            <a:rPr lang="ko-KR" altLang="en-US" sz="1100" b="1" baseline="0">
              <a:solidFill>
                <a:srgbClr val="FF0000"/>
              </a:solidFill>
              <a:latin typeface="+mn-ea"/>
              <a:ea typeface="+mn-ea"/>
            </a:rPr>
            <a:t>정중앙에만 접착제를 도포하여 부착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해주시기 바랍니다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. </a:t>
          </a:r>
        </a:p>
        <a:p>
          <a:pPr algn="l"/>
          <a:endParaRPr lang="en-US" altLang="ko-KR" sz="1100" b="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3.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영수증 원본은 경영지원팀에 제출하여주시기 바랍니다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7ADE38-D279-43F7-B1E6-5632FB43D328}" name="정산표" displayName="정산표" ref="B3:J8" totalsRowShown="0" headerRowDxfId="25" dataDxfId="23" headerRowBorderDxfId="24" tableBorderDxfId="22" totalsRowBorderDxfId="21">
  <autoFilter ref="B3:J8" xr:uid="{647ADE38-D279-43F7-B1E6-5632FB43D328}"/>
  <tableColumns count="9">
    <tableColumn id="1" xr3:uid="{E00039C9-66CF-4AD2-8F91-A5155CD3E106}" name="(현지)결제일자" dataDxfId="20"/>
    <tableColumn id="2" xr3:uid="{BF441DEA-8C88-418F-BD3C-6944774AF27F}" name="증빙번호" dataDxfId="19"/>
    <tableColumn id="3" xr3:uid="{1F9E2E4F-18DD-4289-9C4E-F427DF0727C2}" name="결제방법" dataDxfId="18"/>
    <tableColumn id="4" xr3:uid="{6C17849B-F228-459E-8C77-912F815DD085}" name="카드번호_x000a_(해당시)" dataDxfId="17"/>
    <tableColumn id="5" xr3:uid="{02D11C25-188A-4E2C-9C51-373DCE28D2B9}" name="구분" dataDxfId="16"/>
    <tableColumn id="6" xr3:uid="{6565CF54-7AAC-47DB-AFF6-533A788AABBB}" name="항목" dataDxfId="15"/>
    <tableColumn id="7" xr3:uid="{B20DC194-C83F-4077-94BE-1A430DDBA09D}" name="사용 목적_x000a_(개인 카드·현금 사용 사유)" dataDxfId="14"/>
    <tableColumn id="8" xr3:uid="{38C5A4A8-F350-4E91-AB20-85B75869F76A}" name="거래처/가맹점명" dataDxfId="13"/>
    <tableColumn id="11" xr3:uid="{204B1C1A-8007-4381-BD39-5B5D233361E2}" name="결제금액 (원)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A94D6B-C127-422B-BEFA-B4587CE3F584}" name="정산표_6" displayName="정산표_6" ref="C6:J10" totalsRowShown="0" headerRowBorderDxfId="11" tableBorderDxfId="10">
  <autoFilter ref="C6:J10" xr:uid="{647ADE38-D279-43F7-B1E6-5632FB43D328}"/>
  <tableColumns count="8">
    <tableColumn id="1" xr3:uid="{8C2C4E59-5AE2-4730-85BB-6E53B3866FEE}" name="(현지)결제일자" dataDxfId="9"/>
    <tableColumn id="2" xr3:uid="{73F16C8F-6C76-4E46-97F6-1F69CE5F956E}" name="증빙번호" dataDxfId="8"/>
    <tableColumn id="3" xr3:uid="{1ADAE1DD-A394-40E9-BC76-BF91678E89A0}" name="결제방법" dataDxfId="7"/>
    <tableColumn id="4" xr3:uid="{93B385F7-846A-4F53-B179-2724EAFC81B6}" name="카드번호_x000a_(해당시)" dataDxfId="6"/>
    <tableColumn id="5" xr3:uid="{777BA959-1C33-4F19-ABE8-A646F5F8EF4C}" name="구분" dataDxfId="5"/>
    <tableColumn id="6" xr3:uid="{9658AF18-E4A2-4779-80FE-F5C757791FF3}" name="항목" dataDxfId="4"/>
    <tableColumn id="7" xr3:uid="{F43406E2-5C90-486E-BE5F-5279654C30B7}" name="사용 목적_x000a_(개인 카드·현금 사용 사유)" dataDxfId="3"/>
    <tableColumn id="8" xr3:uid="{020EA346-8414-4548-A2F0-898CCC2410CA}" name="거래처/가맹점명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9A7604-CAB7-423A-A527-240CFD985E8A}" name="표3" displayName="표3" ref="C2:I9" totalsRowShown="0">
  <autoFilter ref="C2:I9" xr:uid="{289A7604-CAB7-423A-A527-240CFD985E8A}"/>
  <tableColumns count="7">
    <tableColumn id="1" xr3:uid="{944E802F-F136-4041-A5B1-0E0DFF4211D1}" name="구분"/>
    <tableColumn id="2" xr3:uid="{170FA715-389E-44CE-9D9D-986E180DD895}" name="교통비"/>
    <tableColumn id="3" xr3:uid="{657AE94F-515C-41F6-854B-E7F42B1CA985}" name="숙박비"/>
    <tableColumn id="4" xr3:uid="{3FFA87B9-8DC3-4759-B8A3-7906409408E8}" name="식비"/>
    <tableColumn id="5" xr3:uid="{573948A2-83FA-47E7-8F32-FB7FFC309C66}" name="기타경비"/>
    <tableColumn id="6" xr3:uid="{2E9AB383-077C-4F40-A2C5-7308E106A537}" name="업무추진비"/>
    <tableColumn id="7" xr3:uid="{842B1055-FA88-4069-AE28-E3D473049B87}" name="활동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775E-4948-4CD6-B1D2-731DB2258082}">
  <sheetPr>
    <tabColor theme="4"/>
    <pageSetUpPr fitToPage="1"/>
  </sheetPr>
  <dimension ref="B2:V67"/>
  <sheetViews>
    <sheetView showGridLines="0" tabSelected="1" view="pageBreakPreview" zoomScaleNormal="100" zoomScaleSheetLayoutView="100" workbookViewId="0">
      <selection activeCell="C6" sqref="C6:G6"/>
    </sheetView>
  </sheetViews>
  <sheetFormatPr defaultColWidth="10.21875" defaultRowHeight="17.399999999999999"/>
  <cols>
    <col min="1" max="1" width="4" style="2" customWidth="1"/>
    <col min="2" max="2" width="15.77734375" style="2" customWidth="1"/>
    <col min="3" max="3" width="15.77734375" style="23" customWidth="1"/>
    <col min="4" max="4" width="15.77734375" style="24" customWidth="1"/>
    <col min="5" max="7" width="15.77734375" style="23" customWidth="1"/>
    <col min="8" max="8" width="11.44140625" style="2" bestFit="1" customWidth="1"/>
    <col min="9" max="9" width="20.5546875" style="2" customWidth="1"/>
    <col min="10" max="10" width="13.88671875" style="2" bestFit="1" customWidth="1"/>
    <col min="11" max="13" width="10.21875" style="2"/>
    <col min="14" max="14" width="10.5546875" style="2" bestFit="1" customWidth="1"/>
    <col min="15" max="15" width="2.21875" style="2" customWidth="1"/>
    <col min="16" max="16384" width="10.21875" style="2"/>
  </cols>
  <sheetData>
    <row r="2" spans="2:14" ht="45" customHeight="1">
      <c r="B2" s="71" t="s">
        <v>65</v>
      </c>
      <c r="C2" s="71"/>
      <c r="D2" s="71"/>
      <c r="E2" s="71"/>
      <c r="F2" s="71"/>
      <c r="G2" s="71"/>
      <c r="H2" s="27"/>
      <c r="I2" s="1"/>
      <c r="J2" s="22"/>
      <c r="K2" s="22"/>
      <c r="L2" s="22"/>
      <c r="M2" s="22"/>
      <c r="N2" s="22"/>
    </row>
    <row r="3" spans="2:14" ht="15" customHeight="1">
      <c r="B3" s="26"/>
      <c r="C3" s="26"/>
      <c r="D3" s="26"/>
      <c r="E3" s="26"/>
      <c r="F3" s="26"/>
      <c r="G3" s="26"/>
      <c r="H3" s="27"/>
      <c r="I3" s="1"/>
      <c r="J3" s="22"/>
      <c r="K3" s="22"/>
      <c r="L3" s="22"/>
      <c r="M3" s="22"/>
      <c r="N3" s="22"/>
    </row>
    <row r="4" spans="2:14" ht="30" customHeight="1">
      <c r="B4" s="28" t="s">
        <v>66</v>
      </c>
      <c r="C4" s="28"/>
      <c r="D4" s="28"/>
      <c r="E4" s="28"/>
      <c r="F4" s="28"/>
      <c r="G4" s="29"/>
      <c r="I4" s="8"/>
      <c r="J4" s="9"/>
      <c r="K4" s="7"/>
      <c r="L4" s="7"/>
      <c r="M4" s="7"/>
    </row>
    <row r="5" spans="2:14" ht="30" customHeight="1">
      <c r="B5" s="3" t="s">
        <v>67</v>
      </c>
      <c r="C5" s="72"/>
      <c r="D5" s="72"/>
      <c r="E5" s="72"/>
      <c r="F5" s="72"/>
      <c r="G5" s="72"/>
      <c r="H5" s="4"/>
      <c r="J5" s="22"/>
      <c r="K5" s="22"/>
      <c r="L5" s="22"/>
      <c r="M5" s="22"/>
      <c r="N5" s="22"/>
    </row>
    <row r="6" spans="2:14" ht="30" customHeight="1">
      <c r="B6" s="3" t="s">
        <v>68</v>
      </c>
      <c r="C6" s="72"/>
      <c r="D6" s="72"/>
      <c r="E6" s="72"/>
      <c r="F6" s="72"/>
      <c r="G6" s="72"/>
      <c r="H6" s="5"/>
      <c r="J6" s="6"/>
      <c r="K6" s="6"/>
      <c r="L6" s="6"/>
      <c r="M6" s="6"/>
    </row>
    <row r="7" spans="2:14" ht="30" customHeight="1">
      <c r="B7" s="3" t="s">
        <v>69</v>
      </c>
      <c r="C7" s="72"/>
      <c r="D7" s="72"/>
      <c r="E7" s="72"/>
      <c r="F7" s="72"/>
      <c r="G7" s="72"/>
      <c r="H7" s="4"/>
      <c r="J7" s="22"/>
      <c r="K7" s="22"/>
      <c r="L7" s="22"/>
      <c r="M7" s="22"/>
      <c r="N7" s="22"/>
    </row>
    <row r="8" spans="2:14" ht="30" customHeight="1">
      <c r="B8" s="3" t="s">
        <v>70</v>
      </c>
      <c r="C8" s="72"/>
      <c r="D8" s="72"/>
      <c r="E8" s="72"/>
      <c r="F8" s="72"/>
      <c r="G8" s="72"/>
      <c r="H8" s="5"/>
      <c r="J8" s="9"/>
      <c r="K8" s="7"/>
      <c r="L8" s="7"/>
      <c r="M8" s="7"/>
    </row>
    <row r="9" spans="2:14" ht="15" customHeight="1">
      <c r="B9" s="73"/>
      <c r="C9" s="73"/>
      <c r="D9" s="73"/>
      <c r="E9" s="73"/>
      <c r="F9" s="73"/>
      <c r="G9" s="73"/>
      <c r="I9" s="8"/>
      <c r="J9" s="9"/>
      <c r="K9" s="7"/>
      <c r="L9" s="7"/>
      <c r="M9" s="7"/>
    </row>
    <row r="10" spans="2:14" ht="30" customHeight="1">
      <c r="B10" s="69" t="s">
        <v>20</v>
      </c>
      <c r="C10" s="69"/>
      <c r="D10" s="69"/>
      <c r="E10" s="69"/>
      <c r="F10" s="69"/>
      <c r="G10" s="29" t="s">
        <v>19</v>
      </c>
      <c r="I10" s="8"/>
      <c r="J10" s="9"/>
      <c r="K10" s="7"/>
      <c r="L10" s="7"/>
      <c r="M10" s="7"/>
    </row>
    <row r="11" spans="2:14" ht="30" customHeight="1">
      <c r="B11" s="10" t="s">
        <v>0</v>
      </c>
      <c r="C11" s="11" t="s">
        <v>2</v>
      </c>
      <c r="D11" s="30" t="s">
        <v>1</v>
      </c>
      <c r="E11" s="11" t="s">
        <v>13</v>
      </c>
      <c r="F11" s="11" t="s">
        <v>32</v>
      </c>
      <c r="G11" s="11" t="s">
        <v>52</v>
      </c>
      <c r="J11" s="9"/>
      <c r="K11" s="7"/>
      <c r="L11" s="7"/>
      <c r="M11" s="7"/>
    </row>
    <row r="12" spans="2:14" ht="30" customHeight="1">
      <c r="B12" s="46">
        <f>세부내역!M8</f>
      </c>
      <c r="C12" s="46">
        <f>세부내역!N8</f>
      </c>
      <c r="D12" s="46">
        <f>세부내역!O8</f>
      </c>
      <c r="E12" s="46">
        <f>세부내역!P8</f>
      </c>
      <c r="F12" s="46">
        <f>세부내역!Q8</f>
      </c>
      <c r="G12" s="46">
        <f>세부내역!R8</f>
      </c>
      <c r="I12" s="12"/>
      <c r="J12" s="9"/>
      <c r="K12" s="7"/>
      <c r="L12" s="7"/>
      <c r="M12" s="7"/>
    </row>
    <row r="13" spans="2:14" ht="15" customHeight="1">
      <c r="B13" s="25"/>
      <c r="C13" s="25"/>
      <c r="D13" s="25"/>
      <c r="E13" s="25"/>
      <c r="F13" s="25"/>
      <c r="G13" s="31"/>
      <c r="J13" s="9"/>
      <c r="K13" s="7"/>
      <c r="L13" s="7"/>
      <c r="M13" s="7"/>
      <c r="N13" s="13"/>
    </row>
    <row r="14" spans="2:14" ht="30" customHeight="1">
      <c r="B14" s="69" t="s">
        <v>71</v>
      </c>
      <c r="C14" s="69"/>
      <c r="D14" s="69"/>
      <c r="E14" s="69"/>
      <c r="F14" s="69"/>
      <c r="G14" s="29" t="s">
        <v>18</v>
      </c>
      <c r="J14" s="9"/>
      <c r="K14" s="7"/>
      <c r="L14" s="7"/>
      <c r="M14" s="7"/>
      <c r="N14" s="13"/>
    </row>
    <row r="15" spans="2:14" ht="30" customHeight="1">
      <c r="B15" s="3" t="s">
        <v>74</v>
      </c>
      <c r="C15" s="11" t="s">
        <v>3</v>
      </c>
      <c r="D15" s="30" t="s">
        <v>14</v>
      </c>
      <c r="E15" s="11" t="s">
        <v>15</v>
      </c>
      <c r="F15" s="74" t="s">
        <v>16</v>
      </c>
      <c r="G15" s="75"/>
      <c r="J15" s="9"/>
      <c r="K15" s="7"/>
      <c r="L15" s="7"/>
      <c r="M15" s="7"/>
      <c r="N15" s="13"/>
    </row>
    <row r="16" spans="2:14" ht="30" customHeight="1">
      <c r="B16" s="3"/>
      <c r="C16" s="32"/>
      <c r="D16" s="32"/>
      <c r="E16" s="33">
        <f>C16-D16</f>
      </c>
      <c r="F16" s="76"/>
      <c r="G16" s="77"/>
      <c r="J16" s="15"/>
      <c r="K16" s="14"/>
      <c r="L16" s="14"/>
      <c r="M16" s="14"/>
      <c r="N16" s="16"/>
    </row>
    <row r="17" spans="2:22" ht="30" customHeight="1">
      <c r="B17" s="3"/>
      <c r="C17" s="32"/>
      <c r="D17" s="32"/>
      <c r="E17" s="33">
        <f>C17-D17</f>
      </c>
      <c r="F17" s="76"/>
      <c r="G17" s="77"/>
      <c r="J17" s="15"/>
      <c r="K17" s="14"/>
      <c r="L17" s="17"/>
      <c r="T17" s="18"/>
      <c r="U17" s="18"/>
      <c r="V17" s="18"/>
    </row>
    <row r="18" spans="2:22" ht="30" customHeight="1">
      <c r="B18" s="3"/>
      <c r="C18" s="32"/>
      <c r="D18" s="32"/>
      <c r="E18" s="33">
        <f t="shared" ref="E18" si="0">C18-D18</f>
        <v>0</v>
      </c>
      <c r="F18" s="76"/>
      <c r="G18" s="77"/>
      <c r="J18" s="15"/>
      <c r="K18" s="14"/>
      <c r="L18" s="17"/>
      <c r="M18" s="14"/>
      <c r="N18" s="16"/>
      <c r="T18" s="18"/>
      <c r="U18" s="18"/>
      <c r="V18" s="18"/>
    </row>
    <row r="19" spans="2:22" ht="15" customHeight="1">
      <c r="B19" s="25"/>
      <c r="C19" s="25"/>
      <c r="D19" s="25"/>
      <c r="E19" s="25"/>
      <c r="F19" s="25"/>
      <c r="G19" s="31"/>
      <c r="J19" s="9"/>
      <c r="K19" s="7"/>
      <c r="L19" s="7"/>
      <c r="M19" s="7"/>
      <c r="N19" s="13"/>
    </row>
    <row r="20" spans="2:22" ht="30" customHeight="1">
      <c r="B20" s="69" t="s">
        <v>62</v>
      </c>
      <c r="C20" s="69"/>
      <c r="D20" s="69"/>
      <c r="E20" s="69"/>
      <c r="F20" s="69"/>
      <c r="G20" s="29" t="s">
        <v>19</v>
      </c>
      <c r="J20" s="15"/>
      <c r="K20" s="14"/>
      <c r="L20" s="17"/>
      <c r="M20" s="14"/>
      <c r="N20" s="16"/>
      <c r="T20" s="18"/>
      <c r="U20" s="18"/>
      <c r="V20" s="18"/>
    </row>
    <row r="21" spans="2:22" ht="30" customHeight="1">
      <c r="B21" s="11" t="s">
        <v>49</v>
      </c>
      <c r="C21" s="11" t="s">
        <v>12</v>
      </c>
      <c r="D21" s="63" t="s">
        <v>50</v>
      </c>
      <c r="E21" s="70" t="s">
        <v>51</v>
      </c>
      <c r="F21" s="70"/>
      <c r="G21" s="70"/>
      <c r="J21" s="19"/>
      <c r="K21" s="14"/>
      <c r="L21" s="14"/>
      <c r="T21" s="18"/>
      <c r="U21" s="20"/>
      <c r="V21" s="20"/>
    </row>
    <row r="22" spans="2:22" ht="30" customHeight="1">
      <c r="B22" s="34"/>
      <c r="C22" s="11"/>
      <c r="D22" s="64"/>
      <c r="E22" s="70"/>
      <c r="F22" s="70"/>
      <c r="G22" s="70"/>
      <c r="J22" s="19"/>
      <c r="K22" s="14"/>
      <c r="L22" s="14"/>
      <c r="T22" s="18"/>
      <c r="U22" s="20"/>
      <c r="V22" s="20"/>
    </row>
    <row r="23" spans="2:22" ht="30" customHeight="1">
      <c r="B23" s="34"/>
      <c r="C23" s="11"/>
      <c r="D23" s="64"/>
      <c r="E23" s="70"/>
      <c r="F23" s="70"/>
      <c r="G23" s="70"/>
      <c r="J23" s="19"/>
      <c r="K23" s="14"/>
      <c r="L23" s="14"/>
      <c r="M23" s="14"/>
      <c r="N23" s="21"/>
      <c r="O23" s="17"/>
      <c r="P23" s="17"/>
      <c r="Q23" s="17"/>
      <c r="R23" s="17"/>
      <c r="S23" s="17"/>
      <c r="T23" s="18"/>
      <c r="U23" s="20"/>
      <c r="V23" s="20"/>
    </row>
    <row r="24" spans="2:22" ht="15" customHeight="1">
      <c r="B24" s="25"/>
      <c r="C24" s="25"/>
      <c r="D24" s="25"/>
      <c r="E24" s="25"/>
      <c r="F24" s="25"/>
      <c r="G24" s="31"/>
      <c r="J24" s="9"/>
      <c r="K24" s="7"/>
      <c r="L24" s="7"/>
      <c r="M24" s="7"/>
      <c r="N24" s="13"/>
    </row>
    <row r="25" spans="2:22" ht="30" customHeight="1">
      <c r="B25" s="69"/>
      <c r="C25" s="69"/>
      <c r="D25" s="69"/>
      <c r="E25" s="69"/>
      <c r="F25" s="69"/>
      <c r="G25" s="69"/>
      <c r="J25" s="15"/>
      <c r="K25" s="14"/>
      <c r="L25" s="17"/>
      <c r="M25" s="14"/>
      <c r="N25" s="16"/>
      <c r="T25" s="18"/>
      <c r="U25" s="18"/>
      <c r="V25" s="18"/>
    </row>
    <row r="26" spans="2:22" ht="69.900000000000006" customHeight="1">
      <c r="B26" s="70"/>
      <c r="C26" s="70"/>
      <c r="D26" s="70"/>
      <c r="E26" s="70"/>
      <c r="F26" s="70"/>
      <c r="G26" s="70"/>
      <c r="I26" s="14"/>
      <c r="J26" s="14"/>
      <c r="K26" s="14"/>
      <c r="S26" s="18"/>
      <c r="T26" s="20"/>
      <c r="U26" s="20"/>
    </row>
    <row r="27" spans="2:22">
      <c r="T27" s="18"/>
      <c r="U27" s="18"/>
      <c r="V27" s="18"/>
    </row>
    <row r="28" spans="2:22">
      <c r="S28" s="18"/>
      <c r="T28" s="18"/>
      <c r="U28" s="18"/>
    </row>
    <row r="29" spans="2:22">
      <c r="S29" s="18"/>
      <c r="T29" s="18"/>
      <c r="U29" s="18"/>
    </row>
    <row r="30" spans="2:22">
      <c r="S30" s="18"/>
      <c r="T30" s="18"/>
      <c r="U30" s="18"/>
    </row>
    <row r="31" spans="2:22">
      <c r="S31" s="18"/>
      <c r="T31" s="18"/>
      <c r="U31" s="18"/>
    </row>
    <row r="32" spans="2:22">
      <c r="S32" s="18"/>
      <c r="T32" s="18"/>
      <c r="U32" s="18"/>
    </row>
    <row r="33" spans="10:21">
      <c r="S33" s="18"/>
      <c r="T33" s="18"/>
      <c r="U33" s="18"/>
    </row>
    <row r="34" spans="10:21">
      <c r="O34" s="18"/>
      <c r="P34" s="18"/>
      <c r="Q34" s="18"/>
    </row>
    <row r="35" spans="10:21">
      <c r="O35" s="18"/>
      <c r="P35" s="18"/>
      <c r="Q35" s="18"/>
    </row>
    <row r="36" spans="10:21">
      <c r="S36" s="18"/>
      <c r="T36" s="18"/>
      <c r="U36" s="18"/>
    </row>
    <row r="37" spans="10:21">
      <c r="S37" s="18"/>
      <c r="T37" s="18"/>
      <c r="U37" s="18"/>
    </row>
    <row r="38" spans="10:21">
      <c r="O38" s="18"/>
      <c r="P38" s="18"/>
      <c r="Q38" s="18"/>
    </row>
    <row r="39" spans="10:21">
      <c r="O39" s="18"/>
      <c r="P39" s="18"/>
      <c r="Q39" s="18"/>
    </row>
    <row r="40" spans="10:21">
      <c r="O40" s="18"/>
      <c r="P40" s="18"/>
      <c r="Q40" s="18"/>
    </row>
    <row r="41" spans="10:21">
      <c r="O41" s="18"/>
      <c r="P41" s="18"/>
      <c r="Q41" s="18"/>
    </row>
    <row r="42" spans="10:21">
      <c r="O42" s="18"/>
      <c r="P42" s="18"/>
      <c r="Q42" s="18"/>
    </row>
    <row r="43" spans="10:21">
      <c r="S43" s="18"/>
      <c r="T43" s="18"/>
      <c r="U43" s="18"/>
    </row>
    <row r="44" spans="10:21">
      <c r="S44" s="18"/>
      <c r="T44" s="18"/>
      <c r="U44" s="18"/>
    </row>
    <row r="45" spans="10:21">
      <c r="S45" s="18"/>
      <c r="T45" s="18"/>
      <c r="U45" s="18"/>
    </row>
    <row r="46" spans="10:21">
      <c r="S46" s="18"/>
      <c r="T46" s="18"/>
      <c r="U46" s="18"/>
    </row>
    <row r="47" spans="10:21">
      <c r="S47" s="18"/>
      <c r="T47" s="18"/>
      <c r="U47" s="18"/>
    </row>
    <row r="48" spans="10:21">
      <c r="J48" s="18"/>
    </row>
    <row r="49" spans="10:21">
      <c r="J49" s="18"/>
    </row>
    <row r="50" spans="10:21">
      <c r="J50" s="18"/>
    </row>
    <row r="51" spans="10:21">
      <c r="J51" s="18"/>
    </row>
    <row r="52" spans="10:21">
      <c r="J52" s="18"/>
    </row>
    <row r="53" spans="10:21">
      <c r="J53" s="18"/>
    </row>
    <row r="54" spans="10:21">
      <c r="J54" s="18"/>
    </row>
    <row r="55" spans="10:21">
      <c r="J55" s="18"/>
    </row>
    <row r="56" spans="10:21">
      <c r="J56" s="18"/>
    </row>
    <row r="57" spans="10:21">
      <c r="J57" s="18"/>
    </row>
    <row r="58" spans="10:21">
      <c r="J58" s="18"/>
    </row>
    <row r="59" spans="10:21">
      <c r="J59" s="18"/>
    </row>
    <row r="60" spans="10:21">
      <c r="S60" s="18"/>
      <c r="T60" s="18"/>
      <c r="U60" s="18"/>
    </row>
    <row r="61" spans="10:21">
      <c r="J61" s="18"/>
    </row>
    <row r="62" spans="10:21">
      <c r="J62" s="18"/>
    </row>
    <row r="63" spans="10:21">
      <c r="K63" s="18"/>
    </row>
    <row r="64" spans="10:21">
      <c r="K64" s="18"/>
    </row>
    <row r="65" spans="11:11">
      <c r="K65" s="18"/>
    </row>
    <row r="66" spans="11:11">
      <c r="K66" s="18"/>
    </row>
    <row r="67" spans="11:11">
      <c r="K67" s="18"/>
    </row>
  </sheetData>
  <mergeCells count="16">
    <mergeCell ref="B25:G25"/>
    <mergeCell ref="B26:G26"/>
    <mergeCell ref="B2:G2"/>
    <mergeCell ref="C5:G5"/>
    <mergeCell ref="C6:G6"/>
    <mergeCell ref="C8:G8"/>
    <mergeCell ref="C7:G7"/>
    <mergeCell ref="B9:G9"/>
    <mergeCell ref="B10:F10"/>
    <mergeCell ref="B14:F14"/>
    <mergeCell ref="B20:F20"/>
    <mergeCell ref="E21:G23"/>
    <mergeCell ref="F15:G15"/>
    <mergeCell ref="F16:G16"/>
    <mergeCell ref="F17:G17"/>
    <mergeCell ref="F18:G18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9DA7-A503-46AC-B80E-E7E5A23F92E8}">
  <sheetPr>
    <tabColor theme="4"/>
    <pageSetUpPr fitToPage="1"/>
  </sheetPr>
  <dimension ref="B1:S28"/>
  <sheetViews>
    <sheetView showGridLines="0" zoomScaleNormal="100" workbookViewId="0">
      <selection activeCell="H5" sqref="H5"/>
    </sheetView>
  </sheetViews>
  <sheetFormatPr defaultRowHeight="17.100000000000001" customHeight="1"/>
  <cols>
    <col min="1" max="1" width="5.44140625" customWidth="1"/>
    <col min="2" max="2" width="15.77734375" style="40" customWidth="1"/>
    <col min="3" max="3" width="10.77734375" style="37" customWidth="1"/>
    <col min="4" max="5" width="10.77734375" style="37" customWidth="1" collapsed="1"/>
    <col min="6" max="7" width="15" style="37" customWidth="1"/>
    <col min="8" max="8" width="23.5546875" style="37" customWidth="1"/>
    <col min="9" max="9" width="20.77734375" style="37" customWidth="1" collapsed="1"/>
    <col min="10" max="10" width="17.44140625" style="45" customWidth="1"/>
    <col min="11" max="11" width="5.77734375" customWidth="1"/>
    <col min="12" max="17" width="11.77734375" style="38" customWidth="1"/>
    <col min="18" max="19" width="11.77734375" customWidth="1"/>
  </cols>
  <sheetData>
    <row r="1" spans="2:19" ht="17.100000000000001" customHeight="1">
      <c r="B1" s="39"/>
      <c r="C1" s="35"/>
      <c r="D1" s="36"/>
    </row>
    <row r="2" spans="2:19" ht="17.100000000000001" customHeight="1">
      <c r="B2" s="39"/>
      <c r="C2" s="35"/>
      <c r="D2" s="36"/>
    </row>
    <row r="3" spans="2:19" ht="35.1" customHeight="1">
      <c r="B3" s="57" t="s">
        <v>5</v>
      </c>
      <c r="C3" s="41" t="s">
        <v>7</v>
      </c>
      <c r="D3" s="41" t="s">
        <v>6</v>
      </c>
      <c r="E3" s="42" t="s">
        <v>56</v>
      </c>
      <c r="F3" s="41" t="s">
        <v>4</v>
      </c>
      <c r="G3" s="41" t="s">
        <v>9</v>
      </c>
      <c r="H3" s="42" t="s">
        <v>63</v>
      </c>
      <c r="I3" s="41" t="s">
        <v>8</v>
      </c>
      <c r="J3" s="58" t="s">
        <v>25</v>
      </c>
    </row>
    <row r="4" spans="2:19" ht="17.100000000000001" customHeight="1">
      <c r="B4" s="65"/>
      <c r="C4" s="66"/>
      <c r="D4" s="67"/>
      <c r="E4" s="66"/>
      <c r="F4" s="66"/>
      <c r="G4" s="66"/>
      <c r="H4" s="66"/>
      <c r="I4" s="66"/>
      <c r="J4" s="68"/>
      <c r="K4" s="43"/>
    </row>
    <row r="5" spans="2:19" ht="17.100000000000001" customHeight="1">
      <c r="B5" s="65"/>
      <c r="C5" s="66"/>
      <c r="D5" s="67"/>
      <c r="E5" s="66"/>
      <c r="F5" s="66"/>
      <c r="G5" s="66"/>
      <c r="H5" s="66"/>
      <c r="I5" s="66"/>
      <c r="J5" s="68"/>
      <c r="K5" s="43"/>
    </row>
    <row r="6" spans="2:19" ht="17.100000000000001" customHeight="1">
      <c r="B6" s="65"/>
      <c r="C6" s="66"/>
      <c r="D6" s="67"/>
      <c r="E6" s="66"/>
      <c r="F6" s="66"/>
      <c r="G6" s="66"/>
      <c r="H6" s="66"/>
      <c r="I6" s="66"/>
      <c r="J6" s="68"/>
      <c r="S6" s="53"/>
    </row>
    <row r="7" spans="2:19" ht="17.100000000000001" customHeight="1">
      <c r="B7" s="59"/>
      <c r="C7" s="55"/>
      <c r="D7" s="55"/>
      <c r="E7" s="55"/>
      <c r="F7" s="55"/>
      <c r="G7" s="55"/>
      <c r="H7" s="55"/>
      <c r="I7" s="55"/>
      <c r="J7" s="60"/>
      <c r="L7" s="47" t="s">
        <v>59</v>
      </c>
      <c r="M7" s="47" t="s">
        <v>27</v>
      </c>
      <c r="N7" s="47" t="s">
        <v>28</v>
      </c>
      <c r="O7" s="47" t="s">
        <v>29</v>
      </c>
      <c r="P7" s="47" t="s">
        <v>30</v>
      </c>
      <c r="Q7" s="47" t="s">
        <v>32</v>
      </c>
      <c r="R7" s="47" t="s">
        <v>41</v>
      </c>
    </row>
    <row r="8" spans="2:19" ht="17.100000000000001" customHeight="1">
      <c r="B8" s="61"/>
      <c r="C8" s="56"/>
      <c r="D8" s="56"/>
      <c r="E8" s="56"/>
      <c r="F8" s="56"/>
      <c r="G8" s="56"/>
      <c r="H8" s="56"/>
      <c r="I8" s="56"/>
      <c r="J8" s="62"/>
      <c r="L8" s="54">
        <f>SUM(M8:R8)</f>
        <v>7900</v>
      </c>
      <c r="M8" s="54">
        <f>SUMIF(정산표[구분],M7,정산표[결제금액 (원)])</f>
        <v>7900</v>
      </c>
      <c r="N8" s="54">
        <f>SUMIF(정산표[구분],N7,정산표[결제금액 (원)])</f>
        <v>0</v>
      </c>
      <c r="O8" s="54">
        <f>SUMIF(정산표[구분],O7,정산표[결제금액 (원)])</f>
        <v>0</v>
      </c>
      <c r="P8" s="54">
        <f>SUMIF(정산표[구분],P7,정산표[결제금액 (원)])</f>
        <v>0</v>
      </c>
      <c r="Q8" s="54">
        <f>SUMIF(정산표[구분],Q7,정산표[결제금액 (원)])</f>
        <v>0</v>
      </c>
      <c r="R8" s="54">
        <f>SUMIF(정산표[구분],R7,정산표[결제금액 (원)])</f>
        <v>0</v>
      </c>
    </row>
    <row r="13" spans="2:19" ht="17.100000000000001" customHeight="1">
      <c r="B13" s="39"/>
      <c r="C13" s="35"/>
      <c r="D13" s="36"/>
    </row>
    <row r="17" spans="2:4" ht="17.100000000000001" customHeight="1">
      <c r="B17" s="39"/>
      <c r="C17" s="35"/>
      <c r="D17" s="36"/>
    </row>
    <row r="18" spans="2:4" ht="17.100000000000001" customHeight="1">
      <c r="B18" s="39"/>
      <c r="C18" s="35"/>
      <c r="D18" s="36"/>
    </row>
    <row r="22" spans="2:4" ht="17.100000000000001" customHeight="1">
      <c r="B22" s="39"/>
      <c r="C22" s="35"/>
      <c r="D22" s="36"/>
    </row>
    <row r="24" spans="2:4" ht="17.100000000000001" customHeight="1">
      <c r="B24" s="39"/>
      <c r="C24" s="35"/>
      <c r="D24" s="36"/>
    </row>
    <row r="28" spans="2:4" ht="17.100000000000001" customHeight="1">
      <c r="B28" s="39"/>
      <c r="C28" s="35"/>
      <c r="D28" s="36"/>
    </row>
  </sheetData>
  <phoneticPr fontId="5" type="noConversion"/>
  <conditionalFormatting sqref="J1:J6 J10:J28">
    <cfRule type="expression" dxfId="1" priority="1">
      <formula>"취소"</formula>
    </cfRule>
  </conditionalFormatting>
  <dataValidations count="3">
    <dataValidation type="list" allowBlank="1" showInputMessage="1" showErrorMessage="1" sqref="F4:F8" xr:uid="{89E2E5E3-2ED6-4F26-B1AC-46D93463E9D5}">
      <formula1>구분</formula1>
    </dataValidation>
    <dataValidation type="list" allowBlank="1" showInputMessage="1" showErrorMessage="1" sqref="D4:D8" xr:uid="{992A5D9F-69D7-4B71-9117-C5E45CC1DBFA}">
      <formula1>결제방법</formula1>
    </dataValidation>
    <dataValidation type="list" allowBlank="1" showInputMessage="1" showErrorMessage="1" sqref="G4:G8" xr:uid="{54256ABD-059C-4068-A89D-9FDE7148A9A2}">
      <formula1>INDIRECT($F4)</formula1>
    </dataValidation>
  </dataValidations>
  <pageMargins left="0.25" right="0.25" top="0.75" bottom="0.75" header="0.3" footer="0.3"/>
  <pageSetup paperSize="9" scale="57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4615-15D7-4A04-87FD-8F5A33EAF4D6}">
  <sheetPr>
    <pageSetUpPr fitToPage="1"/>
  </sheetPr>
  <dimension ref="B1:S30"/>
  <sheetViews>
    <sheetView showGridLines="0" workbookViewId="0">
      <pane ySplit="8" topLeftCell="A9" activePane="bottomLeft" state="frozen"/>
      <selection pane="bottomLeft" activeCell="H14" sqref="H14"/>
    </sheetView>
  </sheetViews>
  <sheetFormatPr defaultRowHeight="17.100000000000001" customHeight="1"/>
  <cols>
    <col min="1" max="1" width="5.44140625" customWidth="1"/>
    <col min="3" max="3" width="15.77734375" style="40" customWidth="1"/>
    <col min="4" max="4" width="10.77734375" style="37" customWidth="1"/>
    <col min="5" max="6" width="10.77734375" style="37" customWidth="1" collapsed="1"/>
    <col min="7" max="8" width="15" style="37" customWidth="1"/>
    <col min="9" max="9" width="23.5546875" style="37" customWidth="1"/>
    <col min="10" max="10" width="20.77734375" style="37" customWidth="1" collapsed="1"/>
    <col min="11" max="11" width="5.77734375" style="45" customWidth="1"/>
    <col min="12" max="12" width="5.77734375" customWidth="1"/>
    <col min="13" max="18" width="11.77734375" style="38" customWidth="1"/>
    <col min="19" max="19" width="11.77734375" customWidth="1"/>
  </cols>
  <sheetData>
    <row r="1" spans="2:19" ht="17.100000000000001" customHeight="1">
      <c r="C1" s="39"/>
      <c r="D1" s="35"/>
      <c r="E1" s="36"/>
    </row>
    <row r="2" spans="2:19" ht="17.100000000000001" customHeight="1">
      <c r="C2" s="78" t="s">
        <v>60</v>
      </c>
      <c r="D2" s="78"/>
      <c r="E2" s="78"/>
      <c r="F2" s="78"/>
      <c r="G2" s="78"/>
      <c r="H2" s="78"/>
      <c r="I2" s="78"/>
      <c r="J2" s="78"/>
      <c r="L2" s="38"/>
      <c r="R2"/>
    </row>
    <row r="3" spans="2:19" ht="17.100000000000001" customHeight="1">
      <c r="C3" s="78"/>
      <c r="D3" s="78"/>
      <c r="E3" s="78"/>
      <c r="F3" s="78"/>
      <c r="G3" s="78"/>
      <c r="H3" s="78"/>
      <c r="I3" s="78"/>
      <c r="J3" s="78"/>
      <c r="L3" s="38"/>
      <c r="R3"/>
    </row>
    <row r="4" spans="2:19" ht="17.100000000000001" customHeight="1">
      <c r="C4" s="78"/>
      <c r="D4" s="78"/>
      <c r="E4" s="78"/>
      <c r="F4" s="78"/>
      <c r="G4" s="78"/>
      <c r="H4" s="78"/>
      <c r="I4" s="78"/>
      <c r="J4" s="78"/>
      <c r="L4" s="38"/>
      <c r="R4"/>
    </row>
    <row r="5" spans="2:19" ht="17.100000000000001" customHeight="1">
      <c r="C5" s="39"/>
      <c r="D5" s="35"/>
      <c r="E5" s="36"/>
      <c r="L5" s="38"/>
      <c r="R5"/>
    </row>
    <row r="6" spans="2:19" ht="35.1" customHeight="1">
      <c r="C6" s="52" t="s">
        <v>5</v>
      </c>
      <c r="D6" s="41" t="s">
        <v>7</v>
      </c>
      <c r="E6" s="41" t="s">
        <v>6</v>
      </c>
      <c r="F6" s="42" t="s">
        <v>56</v>
      </c>
      <c r="G6" s="41" t="s">
        <v>4</v>
      </c>
      <c r="H6" s="41" t="s">
        <v>9</v>
      </c>
      <c r="I6" s="42" t="s">
        <v>63</v>
      </c>
      <c r="J6" s="41" t="s">
        <v>8</v>
      </c>
      <c r="K6" s="51"/>
      <c r="S6" s="53" t="s">
        <v>19</v>
      </c>
    </row>
    <row r="7" spans="2:19" ht="17.100000000000001" customHeight="1">
      <c r="B7" s="44" t="s">
        <v>53</v>
      </c>
      <c r="C7" s="50">
        <v>45843</v>
      </c>
      <c r="D7" s="48"/>
      <c r="E7" s="49" t="s">
        <v>54</v>
      </c>
      <c r="F7" s="48">
        <v>3338</v>
      </c>
      <c r="G7" s="48" t="s">
        <v>26</v>
      </c>
      <c r="H7" s="48" t="s">
        <v>42</v>
      </c>
      <c r="I7" s="48" t="s">
        <v>58</v>
      </c>
      <c r="J7" s="48" t="s">
        <v>43</v>
      </c>
      <c r="K7" s="51"/>
      <c r="M7" s="47" t="s">
        <v>59</v>
      </c>
      <c r="N7" s="47" t="s">
        <v>27</v>
      </c>
      <c r="O7" s="47" t="s">
        <v>28</v>
      </c>
      <c r="P7" s="47" t="s">
        <v>29</v>
      </c>
      <c r="Q7" s="47" t="s">
        <v>30</v>
      </c>
      <c r="R7" s="47" t="s">
        <v>32</v>
      </c>
      <c r="S7" s="47" t="s">
        <v>41</v>
      </c>
    </row>
    <row r="8" spans="2:19" ht="17.100000000000001" customHeight="1">
      <c r="B8" s="44" t="s">
        <v>53</v>
      </c>
      <c r="C8" s="50">
        <v>45844</v>
      </c>
      <c r="D8" s="48"/>
      <c r="E8" s="49" t="s">
        <v>55</v>
      </c>
      <c r="F8" s="48"/>
      <c r="G8" s="48" t="s">
        <v>31</v>
      </c>
      <c r="H8" s="48" t="s">
        <v>31</v>
      </c>
      <c r="I8" s="48" t="s">
        <v>57</v>
      </c>
      <c r="J8" s="48" t="s">
        <v>73</v>
      </c>
      <c r="K8" s="51"/>
      <c r="M8" s="54">
        <f>SUM(N8:S8)</f>
        <v>7900</v>
      </c>
      <c r="N8" s="54">
        <f>SUMIF(정산표[구분],N7,정산표[결제금액 (원)])</f>
        <v>7900</v>
      </c>
      <c r="O8" s="54">
        <f>SUMIF(정산표[구분],O7,정산표[결제금액 (원)])</f>
        <v>0</v>
      </c>
      <c r="P8" s="54">
        <f>SUMIF(정산표[구분],P7,정산표[결제금액 (원)])</f>
        <v>0</v>
      </c>
      <c r="Q8" s="54">
        <f>SUMIF(정산표[구분],Q7,정산표[결제금액 (원)])</f>
        <v>0</v>
      </c>
      <c r="R8" s="54">
        <f>SUMIF(정산표[구분],R7,정산표[결제금액 (원)])</f>
        <v>0</v>
      </c>
      <c r="S8" s="54">
        <f>SUMIF(정산표[구분],S7,정산표[결제금액 (원)])</f>
        <v>0</v>
      </c>
    </row>
    <row r="9" spans="2:19" ht="17.100000000000001" customHeight="1">
      <c r="C9" s="50"/>
      <c r="D9" s="48"/>
      <c r="E9" s="49"/>
      <c r="F9" s="48"/>
      <c r="G9" s="48"/>
      <c r="H9" s="48"/>
      <c r="I9" s="48"/>
      <c r="J9" s="48"/>
      <c r="K9" s="51"/>
    </row>
    <row r="10" spans="2:19" ht="17.100000000000001" customHeight="1">
      <c r="C10" s="50"/>
      <c r="D10" s="48"/>
      <c r="E10" s="49"/>
      <c r="F10" s="48"/>
      <c r="G10" s="48"/>
      <c r="H10" s="48"/>
      <c r="I10" s="48"/>
      <c r="J10" s="48"/>
      <c r="K10" s="51"/>
    </row>
    <row r="11" spans="2:19" ht="17.100000000000001" customHeight="1">
      <c r="K11" s="51"/>
    </row>
    <row r="12" spans="2:19" ht="17.100000000000001" customHeight="1">
      <c r="C12" s="39"/>
      <c r="D12" s="35"/>
      <c r="E12" s="36"/>
    </row>
    <row r="16" spans="2:19" ht="17.100000000000001" customHeight="1">
      <c r="C16" s="39"/>
      <c r="D16" s="35"/>
      <c r="E16" s="36"/>
    </row>
    <row r="17" spans="3:5" ht="17.100000000000001" customHeight="1">
      <c r="C17" s="39"/>
      <c r="D17" s="35"/>
      <c r="E17" s="36"/>
    </row>
    <row r="21" spans="3:5" ht="17.100000000000001" customHeight="1">
      <c r="C21" s="39"/>
      <c r="D21" s="35"/>
      <c r="E21" s="36"/>
    </row>
    <row r="25" spans="3:5" ht="17.100000000000001" customHeight="1">
      <c r="C25" s="39"/>
      <c r="D25" s="35"/>
      <c r="E25" s="36"/>
    </row>
    <row r="26" spans="3:5" ht="17.100000000000001" customHeight="1">
      <c r="C26" s="39"/>
      <c r="D26" s="35"/>
      <c r="E26" s="36"/>
    </row>
    <row r="30" spans="3:5" ht="17.100000000000001" customHeight="1">
      <c r="C30" s="39"/>
      <c r="D30" s="35"/>
      <c r="E30" s="36"/>
    </row>
  </sheetData>
  <mergeCells count="1">
    <mergeCell ref="C2:J4"/>
  </mergeCells>
  <phoneticPr fontId="5" type="noConversion"/>
  <conditionalFormatting sqref="K1:K27">
    <cfRule type="expression" dxfId="0" priority="1">
      <formula>"취소"</formula>
    </cfRule>
  </conditionalFormatting>
  <dataValidations count="3">
    <dataValidation type="list" allowBlank="1" showInputMessage="1" showErrorMessage="1" sqref="H7:H10" xr:uid="{67E94C19-EEEA-4248-8886-2B53ED726035}">
      <formula1>INDIRECT($G7)</formula1>
    </dataValidation>
    <dataValidation type="list" allowBlank="1" showInputMessage="1" showErrorMessage="1" sqref="E7:E10" xr:uid="{06F2AE37-03EB-428F-A7B1-8D0F454AFD06}">
      <formula1>결제방법</formula1>
    </dataValidation>
    <dataValidation type="list" allowBlank="1" showInputMessage="1" showErrorMessage="1" sqref="G7:G10" xr:uid="{2A0197FF-46A9-40AB-9473-47E52C87259B}">
      <formula1>구분</formula1>
    </dataValidation>
  </dataValidations>
  <pageMargins left="0.25" right="0.25" top="0.75" bottom="0.75" header="0.3" footer="0.3"/>
  <pageSetup paperSize="9" scale="76" orientation="landscape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CD31-DF43-417B-B34D-FBC056409E0A}">
  <dimension ref="A1"/>
  <sheetViews>
    <sheetView showGridLines="0" zoomScale="85" zoomScaleNormal="85" workbookViewId="0">
      <selection activeCell="K10" sqref="K10"/>
    </sheetView>
  </sheetViews>
  <sheetFormatPr defaultColWidth="9.109375" defaultRowHeight="17.100000000000001" customHeight="1"/>
  <cols>
    <col min="1" max="16384" width="9.109375" style="2"/>
  </cols>
  <sheetData/>
  <phoneticPr fontId="5" type="noConversion"/>
  <printOptions horizontalCentered="1" verticalCentered="1"/>
  <pageMargins left="0.23622047244094491" right="0.23622047244094491" top="0.74803149606299213" bottom="0.39370078740157483" header="0.31496062992125984" footer="0.31496062992125984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4D3C-B061-4978-8469-0C3289B26AF0}">
  <dimension ref="B2:I9"/>
  <sheetViews>
    <sheetView workbookViewId="0">
      <selection activeCell="D9" sqref="D9"/>
    </sheetView>
  </sheetViews>
  <sheetFormatPr defaultRowHeight="20.100000000000001" customHeight="1"/>
  <cols>
    <col min="2" max="13" width="20.77734375" customWidth="1"/>
  </cols>
  <sheetData>
    <row r="2" spans="2:9" ht="20.100000000000001" customHeight="1">
      <c r="B2" t="s">
        <v>22</v>
      </c>
      <c r="C2" t="s">
        <v>17</v>
      </c>
      <c r="D2" t="s">
        <v>27</v>
      </c>
      <c r="E2" t="s">
        <v>28</v>
      </c>
      <c r="F2" t="s">
        <v>29</v>
      </c>
      <c r="G2" t="s">
        <v>30</v>
      </c>
      <c r="H2" t="s">
        <v>32</v>
      </c>
      <c r="I2" t="s">
        <v>41</v>
      </c>
    </row>
    <row r="3" spans="2:9" ht="20.100000000000001" customHeight="1">
      <c r="B3" t="s">
        <v>10</v>
      </c>
      <c r="C3" t="s">
        <v>27</v>
      </c>
      <c r="D3" t="s">
        <v>47</v>
      </c>
      <c r="E3" t="s">
        <v>28</v>
      </c>
      <c r="F3" t="s">
        <v>33</v>
      </c>
      <c r="G3" t="s">
        <v>36</v>
      </c>
      <c r="H3" t="s">
        <v>32</v>
      </c>
      <c r="I3" t="s">
        <v>64</v>
      </c>
    </row>
    <row r="4" spans="2:9" ht="20.100000000000001" customHeight="1">
      <c r="B4" t="s">
        <v>11</v>
      </c>
      <c r="C4" t="s">
        <v>28</v>
      </c>
      <c r="D4" t="s">
        <v>43</v>
      </c>
      <c r="F4" t="s">
        <v>34</v>
      </c>
      <c r="G4" t="s">
        <v>37</v>
      </c>
    </row>
    <row r="5" spans="2:9" ht="20.100000000000001" customHeight="1">
      <c r="B5" t="s">
        <v>23</v>
      </c>
      <c r="C5" t="s">
        <v>29</v>
      </c>
      <c r="D5" t="s">
        <v>46</v>
      </c>
      <c r="F5" t="s">
        <v>35</v>
      </c>
      <c r="G5" t="s">
        <v>38</v>
      </c>
    </row>
    <row r="6" spans="2:9" ht="20.100000000000001" customHeight="1">
      <c r="B6" t="s">
        <v>24</v>
      </c>
      <c r="C6" t="s">
        <v>30</v>
      </c>
      <c r="D6" t="s">
        <v>44</v>
      </c>
      <c r="G6" t="s">
        <v>39</v>
      </c>
    </row>
    <row r="7" spans="2:9" ht="20.100000000000001" customHeight="1">
      <c r="C7" t="s">
        <v>32</v>
      </c>
      <c r="D7" t="s">
        <v>45</v>
      </c>
      <c r="G7" t="s">
        <v>40</v>
      </c>
    </row>
    <row r="8" spans="2:9" ht="20.100000000000001" customHeight="1">
      <c r="C8" t="s">
        <v>41</v>
      </c>
      <c r="D8" t="s">
        <v>76</v>
      </c>
      <c r="G8" t="s">
        <v>75</v>
      </c>
    </row>
    <row r="9" spans="2:9" ht="20.100000000000001" customHeight="1">
      <c r="D9" t="s">
        <v>48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59554-07C3-4BE1-8278-6B91B0C952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10</vt:i4>
      </vt:variant>
    </vt:vector>
  </HeadingPairs>
  <TitlesOfParts>
    <vt:vector size="15" baseType="lpstr">
      <vt:lpstr>정산내역</vt:lpstr>
      <vt:lpstr>세부내역</vt:lpstr>
      <vt:lpstr>(예시)세부내역</vt:lpstr>
      <vt:lpstr>(가이드)영수증</vt:lpstr>
      <vt:lpstr>드롭다운</vt:lpstr>
      <vt:lpstr>세부내역!Print_Area</vt:lpstr>
      <vt:lpstr>정산내역!Print_Area</vt:lpstr>
      <vt:lpstr>결제방법</vt:lpstr>
      <vt:lpstr>교통비</vt:lpstr>
      <vt:lpstr>구분</vt:lpstr>
      <vt:lpstr>기타경비</vt:lpstr>
      <vt:lpstr>숙박비</vt:lpstr>
      <vt:lpstr>식비</vt:lpstr>
      <vt:lpstr>업무추진비</vt:lpstr>
      <vt:lpstr>활동비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박정민 (Jeongmin Park)</cp:lastModifiedBy>
  <cp:lastPrinted>2025-09-08T04:26:17Z</cp:lastPrinted>
  <dcterms:created xsi:type="dcterms:W3CDTF">2025-03-31T01:39:35Z</dcterms:created>
  <dcterms:modified xsi:type="dcterms:W3CDTF">2025-10-23T11:52:38Z</dcterms:modified>
</cp:coreProperties>
</file>